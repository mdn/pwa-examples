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Users\Patrick\Desktop\Dev\vorneLinks\js13kpwa\data\"/>
    </mc:Choice>
  </mc:AlternateContent>
  <xr:revisionPtr revIDLastSave="0" documentId="13_ncr:1_{9A97EDEA-DE39-4EB9-86A6-8AE0AD363D1D}" xr6:coauthVersionLast="47" xr6:coauthVersionMax="47" xr10:uidLastSave="{00000000-0000-0000-0000-000000000000}"/>
  <bookViews>
    <workbookView xWindow="-28920" yWindow="-120" windowWidth="29040" windowHeight="15840" activeTab="1" xr2:uid="{8F867250-BE43-4377-BA07-261631E972D4}"/>
  </bookViews>
  <sheets>
    <sheet name="Tabelle1" sheetId="1" r:id="rId1"/>
    <sheet name="scrape transform" sheetId="2" r:id="rId2"/>
    <sheet name="scrape 02AUG" sheetId="3" r:id="rId3"/>
  </sheets>
  <definedNames>
    <definedName name="_xlnm._FilterDatabase" localSheetId="2" hidden="1">'scrape 02AUG'!$A$1:$I$84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62" i="3" l="1"/>
  <c r="H62" i="3"/>
  <c r="I62" i="3" s="1"/>
  <c r="J31" i="3"/>
  <c r="H31" i="3"/>
  <c r="J32" i="3"/>
  <c r="H32" i="3"/>
  <c r="J30" i="3"/>
  <c r="H30" i="3"/>
  <c r="J29" i="3"/>
  <c r="H29" i="3"/>
  <c r="J84" i="3"/>
  <c r="J80" i="3"/>
  <c r="J78" i="3"/>
  <c r="J75" i="3"/>
  <c r="J71" i="3"/>
  <c r="J69" i="3"/>
  <c r="J68" i="3"/>
  <c r="J66" i="3"/>
  <c r="J64" i="3"/>
  <c r="J63" i="3"/>
  <c r="J61" i="3"/>
  <c r="J59" i="3"/>
  <c r="J58" i="3"/>
  <c r="J55" i="3"/>
  <c r="J54" i="3"/>
  <c r="J52" i="3"/>
  <c r="J51" i="3"/>
  <c r="J50" i="3"/>
  <c r="J49" i="3"/>
  <c r="J47" i="3"/>
  <c r="J45" i="3"/>
  <c r="J44" i="3"/>
  <c r="J43" i="3"/>
  <c r="J42" i="3"/>
  <c r="J39" i="3"/>
  <c r="J38" i="3"/>
  <c r="J36" i="3"/>
  <c r="J26" i="3"/>
  <c r="J24" i="3"/>
  <c r="J23" i="3"/>
  <c r="J22" i="3"/>
  <c r="J19" i="3"/>
  <c r="J16" i="3"/>
  <c r="J15" i="3"/>
  <c r="J13" i="3"/>
  <c r="J11" i="3"/>
  <c r="J9" i="3"/>
  <c r="J7" i="3"/>
  <c r="J5" i="3"/>
  <c r="J3" i="3"/>
  <c r="J72" i="3"/>
  <c r="H72" i="3"/>
  <c r="J33" i="3"/>
  <c r="H33" i="3"/>
  <c r="J83" i="3"/>
  <c r="J82" i="3"/>
  <c r="J81" i="3"/>
  <c r="J79" i="3"/>
  <c r="J77" i="3"/>
  <c r="J76" i="3"/>
  <c r="J74" i="3"/>
  <c r="J73" i="3"/>
  <c r="J70" i="3"/>
  <c r="J67" i="3"/>
  <c r="J65" i="3"/>
  <c r="J60" i="3"/>
  <c r="J57" i="3"/>
  <c r="J56" i="3"/>
  <c r="J53" i="3"/>
  <c r="J48" i="3"/>
  <c r="J46" i="3"/>
  <c r="J41" i="3"/>
  <c r="J40" i="3"/>
  <c r="J37" i="3"/>
  <c r="J35" i="3"/>
  <c r="J34" i="3"/>
  <c r="J28" i="3"/>
  <c r="J27" i="3"/>
  <c r="J25" i="3"/>
  <c r="J21" i="3"/>
  <c r="J20" i="3"/>
  <c r="J18" i="3"/>
  <c r="J17" i="3"/>
  <c r="J14" i="3"/>
  <c r="J12" i="3"/>
  <c r="J10" i="3"/>
  <c r="J8" i="3"/>
  <c r="J6" i="3"/>
  <c r="J4" i="3"/>
  <c r="J2" i="3"/>
  <c r="H66" i="3"/>
  <c r="H51" i="3"/>
  <c r="H20" i="3"/>
  <c r="H16" i="3"/>
  <c r="H39" i="3"/>
  <c r="H69" i="3"/>
  <c r="H6" i="3"/>
  <c r="H35" i="3"/>
  <c r="H27" i="3"/>
  <c r="H79" i="3"/>
  <c r="H18" i="3"/>
  <c r="H5" i="3"/>
  <c r="H17" i="3"/>
  <c r="I17" i="3" s="1"/>
  <c r="H64" i="3"/>
  <c r="H24" i="3"/>
  <c r="I24" i="3" s="1"/>
  <c r="H80" i="3"/>
  <c r="H25" i="3"/>
  <c r="H7" i="3"/>
  <c r="H70" i="3"/>
  <c r="H81" i="3"/>
  <c r="H58" i="3"/>
  <c r="H50" i="3"/>
  <c r="H11" i="3"/>
  <c r="H56" i="3"/>
  <c r="H36" i="3"/>
  <c r="H67" i="3"/>
  <c r="I67" i="3" s="1"/>
  <c r="H42" i="3"/>
  <c r="H45" i="3"/>
  <c r="H60" i="3"/>
  <c r="H19" i="3"/>
  <c r="H12" i="3"/>
  <c r="H68" i="3"/>
  <c r="H21" i="3"/>
  <c r="H9" i="3"/>
  <c r="H44" i="3"/>
  <c r="H3" i="3"/>
  <c r="H78" i="3"/>
  <c r="H34" i="3"/>
  <c r="H57" i="3"/>
  <c r="I57" i="3" s="1"/>
  <c r="H48" i="3"/>
  <c r="H14" i="3"/>
  <c r="H73" i="3"/>
  <c r="H2" i="3"/>
  <c r="H23" i="3"/>
  <c r="H10" i="3"/>
  <c r="H37" i="3"/>
  <c r="H4" i="3"/>
  <c r="I4" i="3" s="1"/>
  <c r="H55" i="3"/>
  <c r="H38" i="3"/>
  <c r="H65" i="3"/>
  <c r="H83" i="3"/>
  <c r="I83" i="3" s="1"/>
  <c r="H75" i="3"/>
  <c r="H59" i="3"/>
  <c r="H82" i="3"/>
  <c r="I82" i="3" s="1"/>
  <c r="H84" i="3"/>
  <c r="H13" i="3"/>
  <c r="H76" i="3"/>
  <c r="H43" i="3"/>
  <c r="H15" i="3"/>
  <c r="H8" i="3"/>
  <c r="H40" i="3"/>
  <c r="H26" i="3"/>
  <c r="H77" i="3"/>
  <c r="H71" i="3"/>
  <c r="H47" i="3"/>
  <c r="H41" i="3"/>
  <c r="H28" i="3"/>
  <c r="H74" i="3"/>
  <c r="H63" i="3"/>
  <c r="H49" i="3"/>
  <c r="H53" i="3"/>
  <c r="H46" i="3"/>
  <c r="I46" i="3" s="1"/>
  <c r="H22" i="3"/>
  <c r="H61" i="3"/>
  <c r="H54" i="3"/>
  <c r="H52" i="3"/>
  <c r="I63" i="3" l="1"/>
  <c r="I44" i="3"/>
  <c r="I31" i="3"/>
  <c r="I32" i="3"/>
  <c r="I30" i="3"/>
  <c r="I29" i="3"/>
  <c r="I47" i="3"/>
  <c r="I55" i="3"/>
  <c r="I80" i="3"/>
  <c r="I5" i="3"/>
  <c r="I16" i="3"/>
  <c r="I9" i="3"/>
  <c r="I69" i="3"/>
  <c r="I41" i="3"/>
  <c r="I42" i="3"/>
  <c r="I66" i="3"/>
  <c r="I52" i="3"/>
  <c r="I59" i="3"/>
  <c r="I13" i="3"/>
  <c r="I22" i="3"/>
  <c r="I50" i="3"/>
  <c r="I78" i="3"/>
  <c r="I38" i="3"/>
  <c r="I15" i="3"/>
  <c r="I75" i="3"/>
  <c r="I36" i="3"/>
  <c r="I49" i="3"/>
  <c r="I11" i="3"/>
  <c r="I26" i="3"/>
  <c r="I45" i="3"/>
  <c r="I58" i="3"/>
  <c r="I71" i="3"/>
  <c r="I7" i="3"/>
  <c r="I23" i="3"/>
  <c r="I43" i="3"/>
  <c r="I54" i="3"/>
  <c r="I68" i="3"/>
  <c r="I61" i="3"/>
  <c r="I33" i="3"/>
  <c r="I3" i="3"/>
  <c r="I19" i="3"/>
  <c r="I39" i="3"/>
  <c r="I51" i="3"/>
  <c r="I64" i="3"/>
  <c r="I84" i="3"/>
  <c r="I6" i="3"/>
  <c r="I14" i="3"/>
  <c r="I21" i="3"/>
  <c r="I56" i="3"/>
  <c r="I35" i="3"/>
  <c r="I60" i="3"/>
  <c r="I81" i="3"/>
  <c r="I77" i="3"/>
  <c r="I72" i="3"/>
  <c r="I53" i="3"/>
  <c r="I48" i="3"/>
  <c r="I37" i="3"/>
  <c r="I79" i="3"/>
  <c r="I73" i="3"/>
  <c r="I74" i="3"/>
  <c r="I76" i="3"/>
  <c r="I10" i="3"/>
  <c r="I27" i="3"/>
  <c r="I70" i="3"/>
  <c r="I65" i="3"/>
  <c r="I40" i="3"/>
  <c r="I34" i="3"/>
  <c r="I25" i="3"/>
  <c r="I2" i="3"/>
  <c r="I18" i="3"/>
  <c r="I8" i="3"/>
  <c r="I12" i="3"/>
  <c r="I20" i="3"/>
  <c r="I28" i="3"/>
</calcChain>
</file>

<file path=xl/sharedStrings.xml><?xml version="1.0" encoding="utf-8"?>
<sst xmlns="http://schemas.openxmlformats.org/spreadsheetml/2006/main" count="949" uniqueCount="572">
  <si>
    <t>id</t>
  </si>
  <si>
    <t>name</t>
  </si>
  <si>
    <t>location</t>
  </si>
  <si>
    <t>start</t>
  </si>
  <si>
    <t>end</t>
  </si>
  <si>
    <t>type</t>
  </si>
  <si>
    <t>info</t>
  </si>
  <si>
    <t>mfwLink</t>
  </si>
  <si>
    <t>Eine rosa Kaugummiblase im Westernhemd. So klingt «Return», der Erstling von Katy J Pearson. Süsse Melodien mit akzentuiertem 70s Texas-Mom-Gesang begeistern, ohne auch nur eine Note lang plump zu wirken. Dazu kommt lebhaft durchdachtes und dabei erfreulich unverkopftes Songwriting. So klingt die 26-Jährige aus dem Südwesten England – wir sind seit zwei Jahren grosse Fans. Dass die erste Schweizer Show der Britin gleichzeitig das erste Konzert auf der Steibibühne seit knapp drei Jahren sein wird, passt da doch perfekt ins schiefe Bild der alten neuen Normalität. Katy bringt unsere Festivalseele wieder ins Gleichgewicht: Man wird uns und Winterthur «So come on fix me up, come on and fix me up» rufen hören.</t>
  </si>
  <si>
    <t>https://musikfestwochen.ch/acts/katy-j-pearson-uk/</t>
  </si>
  <si>
    <t>Style</t>
  </si>
  <si>
    <t>Folk, Country</t>
  </si>
  <si>
    <t>MINYO CRUSADERS</t>
  </si>
  <si>
    <t>Min’yō-Lieder, tief verwurzelt in der Historie der Arbeiterklasse, gehören praktisch zur japanischen DNA. So weit der Ursprung der Minyo Crusaders. Was das zehnköpfige Kollektiv jedoch daraus bastelt, ist schon fast vertonter Irrwitz. Traditionelle Melodien im musikalischen Kleid von Latin, Cumbia, äthiopischem Jazz, Thai-Pop, Afro-Funk und Reggae. Wir stellen die schubladenloseste Truhe auf und sortieren einfach mal gar nichts ein, sondern staunen lieber mit Augen und Ohren!</t>
  </si>
  <si>
    <t>Min'yō, Cumbia, Thai Pop</t>
  </si>
  <si>
    <t>https://musikfestwochen.ch/acts/minyo-crusaders-jp/</t>
  </si>
  <si>
    <t>KATY J PEARSON</t>
  </si>
  <si>
    <t>ANOUCHKA GWEN</t>
  </si>
  <si>
    <t>Neo Soul</t>
  </si>
  <si>
    <t>https://musikfestwochen.ch/acts/anouchka-gwen-ch/</t>
  </si>
  <si>
    <t>«Melancholisch, romantisch und vielleicht ein bisschen kritisch», so beschreibt Anouchka Gwen ihre Musik. Im neuen Album «Utopia» beschäftigt sie sich mit Akzeptanz, Repräsentation, Awareness und Gefühlen. In neuer Formation unterwegs, bringt sie ihre Zuhörer:innen mit ihrem träumerischen, bassigen Sound zum Wippen, Hüftschwingen und zum Träumen. RnB mit einer Prise Pop und Neo-Soul. Mit Hammerstimme und Haltung sorgt die Basler Neo-Soulerin für Vorfreude im Festivalbüro.</t>
  </si>
  <si>
    <t>ANAÏS MITCHELL</t>
  </si>
  <si>
    <t>Wenn du vom Glück geküsst wirst. Die aus Vermont stammende achtfache Tony- und Grammy-prämierte Singer-Songwriterin Anaïs Mitchell (Hadestown, Bonny Light Horseman, Big Red Machine), von NPR als «eine der grössten Songwriterinnen ihrer Generation» bezeichnet, ist eine Weltmeisterin des erzählenden Folksongs, der Poesie und der Ballade. Der Musikexpress zückt die seltene 5-Sterne-Bewertungstafel und konstatiert, dass Americana «mit Mitchell ihre nächste grosse Erzählerin gefunden hat». Die berührende Songpoetinnen-Sensibilität erinnert in Teilen an ihre Namensvetterin Joni Mitchell. Und hat für die Albumaufnahmen Freunde wie Justin Vernon (Bon Iver, Big Red Machine) oder Aaron und Bryce Dessner (The National) an ihrer Seite hat. An dieser möchten wir noch mal an den Einleitungssatz erinnern und eines festhalten: Es ist uns eine ehrliche Ehre, diese grosse Ausnahmekünstlerin an den Musikfestwochen begrüssen zu dürfen.</t>
  </si>
  <si>
    <t>Folk, Americana</t>
  </si>
  <si>
    <t>https://musikfestwochen.ch/acts/anais-mitchell-us/</t>
  </si>
  <si>
    <t>ANDRINA BOLLINGER</t>
  </si>
  <si>
    <t>Avantgarde Pop</t>
  </si>
  <si>
    <t>Andrina Bollinger lotet Klangwelten aus. Sie entführt in eine kaleidoskopische Welt voller Gedanken und Geheimnisse. Die ehrliche, bodenständige Präsenz der Bündner Multiinstrumentalistin und Sängerin trifft dabei auf eine experimentelle Mischung aus Musik, Poesie und Performance. Andrina Bollinger spielt in ihren avantgardistischen Pop-Songs sowohl Gitarre als auch Tasten- und diverse Perkussionsinstrumente. Begleitet wird sie dabei von Schlagzeuger Arthur Hnatek und Bassist Jules Martinet. Im Zentrum der Performance steht immer Andrina Bollingers einzigartig erdige und samtige Stimme, die sich sanft zwischen Singen, Schreien und Summen bewegt. Ein Konzerterlebnis, wie man es nur selten zu sehen und zu hören bekommt – und das sich lohnt.</t>
  </si>
  <si>
    <t>https://musikfestwochen.ch/acts/andrina-bollinger-ch/</t>
  </si>
  <si>
    <t>KING KORA</t>
  </si>
  <si>
    <t>https://musikfestwochen.ch/acts/king-kora-ch/</t>
  </si>
  <si>
    <t>Im Sound der Band hat die namensgebende Kora, gespielt von Lamin Jobarteh, eine wichtige Bedeutung. Das Zupfinstrument ist der Begleiter der westafrikanischen Griots (weiblich Griottes), die singend Geschichten erzählen und Wissen an ihre Zuhörer weitergeben. Aus der Tradition hat sich ein Musikstil entwickelt, der von kleineren Gruppen bis mittleren Orchestern gepflegt wird. Auch King Kora ist eine solche Griot-Band mit multikultureller Besetzung.
Die Bandmitglieder, welche im Raum Zürich leben, begeistern das Publikum mit neuen und alten neu arrangierten Songs aus dem westafrikanischen Manding-Groove.</t>
  </si>
  <si>
    <t>Griotmusik</t>
  </si>
  <si>
    <t>LES TROIS SUISSES</t>
  </si>
  <si>
    <t>https://musikfestwochen.ch/acts/les-trois-suisses-ch/</t>
  </si>
  <si>
    <t>Jetzt stehen sie da die zwei Strassenmusiker, aber nicht in der Einkaufspassage des
Ortes sondern auf der Bühne. Resli und Pascal sind von der Kulturveranstalterin spontan ins lokale Kleintheater mit zahlendem Publikum eingeladen worden und sollen nun 90 Minuten lang ihre grössten Hits darbieten. Das ist für die beiden Vagabunden alles andere als einfach, denn ihr normales Strassen-Programm dauert bloss 25 Minuten.
Diese ungewohnte Situation zwingt die beiden zu hochstaplerischen Ausschweifungen. Sie schwadronieren über ihr abenteuerliches Strassenmusikerleben, geben haarsträubende Geschichten zum Besten, komponieren ad hoc, graben uralte Songs aus ihrem Repertoire aus und spielen sich um Hemd und Kragen.
VAGABUND ist Unterhaltung erster Güte: witzig, launig und hochmusikalisch.</t>
  </si>
  <si>
    <t>Musik-Comedy</t>
  </si>
  <si>
    <t xml:space="preserve">	1661105700</t>
  </si>
  <si>
    <t>AGENT FLIPPER</t>
  </si>
  <si>
    <t>https://musikfestwochen.ch/acts/agent-flipper-ch/</t>
  </si>
  <si>
    <t>Mit der 4-Track-EP „Jumpin’ Out The Bay“ präsentiert sich die Surf-Band AGENT FLIPPER aus Winti/Zürich. Das Trio veröffentlicht ein stilsicheres Erstlingswerk aus weitgehend instrumentalen Songs, die klanglich fast einem Tarantino-Film entsprungen sein könnten – unverhoffte Zwischenrufe und Chöre berichten dazu von Androgynität, Polizeipräsenz und überfüllten Badestränden. Die Stücke dehnen das Surf-Genre in alle Himmelsrichtungen aus: mit Spaghettiwestern-Anleihen, Hundegebell und Sirenen, orientalischen Melodien und dem von Bassistin Laura Free nonchalant vorgetragenen 21st-Century-Blues.</t>
  </si>
  <si>
    <t>ASENDORF</t>
  </si>
  <si>
    <t>https://musikfestwochen.ch/acts/asendorf-ch/</t>
  </si>
  <si>
    <t>Asendorf verpackt in seiner Musik authentisch und gefühlvoll die eigene Sicht auf das Leben. Er macht sich nahbar und schafft es, Ecken und Kanten preiszugeben, ohne an Leichtigkeit und Unterhaltungswert zu verlieren. Seine ausdrucksstarke Stimme und der eindringliche Sound widerspiegeln den freiheitsliebenden und tiefgründigen Charakter des Musikers. Er experimentiert mit verschiedenen Stilen, verliert dabei aber nie den roten Faden, der für Wiedererkennungswert sorgt.</t>
  </si>
  <si>
    <t>Indie Pop</t>
  </si>
  <si>
    <t>web-scraper-order</t>
  </si>
  <si>
    <t>web-scraper-start-url</t>
  </si>
  <si>
    <t>mfwLink-href</t>
  </si>
  <si>
    <t>1659438273-98</t>
  </si>
  <si>
    <t>https://musikfestwochen.ch/programm/programm-a-z/?acts_showtype=all#acts_showtype_all</t>
  </si>
  <si>
    <t>CONIGLIO CONNECTION (CH)</t>
  </si>
  <si>
    <t>https://musikfestwochen.ch/acts/coniglio-connection-ch/</t>
  </si>
  <si>
    <t>Kirchplatz</t>
  </si>
  <si>
    <t>1659438273-95</t>
  </si>
  <si>
    <t>Choose The Juice (CH)</t>
  </si>
  <si>
    <t>https://musikfestwochen.ch/acts/choose-the-juice-ch/</t>
  </si>
  <si>
    <t>Startrampe</t>
  </si>
  <si>
    <t>1659438273-152</t>
  </si>
  <si>
    <t>To Athena (CH)</t>
  </si>
  <si>
    <t>https://musikfestwochen.ch/acts/to-athena-ch/</t>
  </si>
  <si>
    <t>Stadtkirche</t>
  </si>
  <si>
    <t>1659438273-87</t>
  </si>
  <si>
    <t>Barrio Colette (CH)</t>
  </si>
  <si>
    <t>https://musikfestwochen.ch/acts/barrio-colette-ch/</t>
  </si>
  <si>
    <t>Steinberggasse</t>
  </si>
  <si>
    <t>1659438273-112</t>
  </si>
  <si>
    <t>Kalabrese &amp; Rumpelorchester (CH)</t>
  </si>
  <si>
    <t>https://musikfestwochen.ch/acts/kalabrese-rumpelorchester-ch/</t>
  </si>
  <si>
    <t>1659438273-131</t>
  </si>
  <si>
    <t>Plankton (CH)</t>
  </si>
  <si>
    <t>https://musikfestwochen.ch/acts/plankton-ch/</t>
  </si>
  <si>
    <t>1659438273-149</t>
  </si>
  <si>
    <t>Takeshi's Cashew (AT)</t>
  </si>
  <si>
    <t>https://musikfestwochen.ch/acts/takeshis-cashew-at/</t>
  </si>
  <si>
    <t>1659438273-107</t>
  </si>
  <si>
    <t>Hatepop (CH)</t>
  </si>
  <si>
    <t>https://musikfestwochen.ch/acts/hatepop-ch/</t>
  </si>
  <si>
    <t>1659438273-97</t>
  </si>
  <si>
    <t>CMAT (IRL)</t>
  </si>
  <si>
    <t>https://musikfestwochen.ch/acts/cmat-irl/</t>
  </si>
  <si>
    <t>1659438273-100</t>
  </si>
  <si>
    <t>Edwin Rosen (D)</t>
  </si>
  <si>
    <t>https://musikfestwochen.ch/acts/edwin-rosen-d/</t>
  </si>
  <si>
    <t>1659438273-145</t>
  </si>
  <si>
    <t>SKA-P (ESP)</t>
  </si>
  <si>
    <t>https://musikfestwochen.ch/acts/ska-p-esp/</t>
  </si>
  <si>
    <t>1659438273-129</t>
  </si>
  <si>
    <t>PEDRO FEAT. THE LEGACY (CH)</t>
  </si>
  <si>
    <t>https://musikfestwochen.ch/acts/pedro-feat-the-legacy-ch/</t>
  </si>
  <si>
    <t>1659438273-150</t>
  </si>
  <si>
    <t>TEKE::TEKE (CAN)</t>
  </si>
  <si>
    <t>https://musikfestwochen.ch/acts/teketeke-can/</t>
  </si>
  <si>
    <t>1659438273-105</t>
  </si>
  <si>
    <t>Ginger And The Alchemists (CH)</t>
  </si>
  <si>
    <t>https://musikfestwochen.ch/acts/ginger-and-the-alchemists-ch/</t>
  </si>
  <si>
    <t>1659438273-109</t>
  </si>
  <si>
    <t>Hoehn (CH)</t>
  </si>
  <si>
    <t>https://musikfestwochen.ch/acts/hoehn-ch/</t>
  </si>
  <si>
    <t>Gewerbemuseum Winterthur</t>
  </si>
  <si>
    <t>1659438273-121</t>
  </si>
  <si>
    <t>LÜMÉ (CH/FRA)</t>
  </si>
  <si>
    <t>https://musikfestwochen.ch/acts/lueme-ch-fra/</t>
  </si>
  <si>
    <t>Roulotte</t>
  </si>
  <si>
    <t>1659438273-141</t>
  </si>
  <si>
    <t>SILVANELLAS SEILTANZ</t>
  </si>
  <si>
    <t>https://musikfestwochen.ch/acts/silvanellas-seiltanz/</t>
  </si>
  <si>
    <t>1659438273-156</t>
  </si>
  <si>
    <t>Wu-Lu (UK)</t>
  </si>
  <si>
    <t>https://musikfestwochen.ch/acts/wu-lu-uk/</t>
  </si>
  <si>
    <t>1659438273-134</t>
  </si>
  <si>
    <t>Projekt ET (CH)</t>
  </si>
  <si>
    <t>https://musikfestwochen.ch/acts/projekt-et-ch/</t>
  </si>
  <si>
    <t>1659438273-106</t>
  </si>
  <si>
    <t>Gloria Volt (CH)</t>
  </si>
  <si>
    <t>https://musikfestwochen.ch/acts/gloria-volt-ch/</t>
  </si>
  <si>
    <t>1659438273-155</t>
  </si>
  <si>
    <t>Wet Leg (UK)</t>
  </si>
  <si>
    <t>https://musikfestwochen.ch/acts/wet-leg-uk/</t>
  </si>
  <si>
    <t>1659438273-80</t>
  </si>
  <si>
    <t>Agent Flipper (CH)</t>
  </si>
  <si>
    <t>1659438273-137</t>
  </si>
  <si>
    <t>Red Tape Redemption (CH)</t>
  </si>
  <si>
    <t>https://musikfestwochen.ch/acts/red-tape-redemption-ch/</t>
  </si>
  <si>
    <t>1659438273-144</t>
  </si>
  <si>
    <t>Sira Eigenmann (CH)</t>
  </si>
  <si>
    <t>https://musikfestwochen.ch/acts/sira-eigenmann-ch/</t>
  </si>
  <si>
    <t>1659438273-92</t>
  </si>
  <si>
    <t>Bummelkasten (D)</t>
  </si>
  <si>
    <t>https://musikfestwochen.ch/acts/bummelkasten-d/</t>
  </si>
  <si>
    <t>1659438273-118</t>
  </si>
  <si>
    <t>Lily Claire (CH)</t>
  </si>
  <si>
    <t>https://musikfestwochen.ch/acts/lily-claire-ch/</t>
  </si>
  <si>
    <t>1659438273-108</t>
  </si>
  <si>
    <t>Hathors (CH)</t>
  </si>
  <si>
    <t>https://musikfestwochen.ch/acts/hathors-ch/</t>
  </si>
  <si>
    <t>1659438273-143</t>
  </si>
  <si>
    <t>Sinead O'Brien (IRL)</t>
  </si>
  <si>
    <t>https://musikfestwochen.ch/acts/sinead-obrien-irl/</t>
  </si>
  <si>
    <t>1659438273-81</t>
  </si>
  <si>
    <t>Anaïs Mitchell (US)</t>
  </si>
  <si>
    <t>1659438273-130</t>
  </si>
  <si>
    <t>Phenomden &amp; The Scrucialists (CH)</t>
  </si>
  <si>
    <t>https://musikfestwochen.ch/acts/phenomden-ch/</t>
  </si>
  <si>
    <t>1659438273-86</t>
  </si>
  <si>
    <t>Band-it-Finale</t>
  </si>
  <si>
    <t>https://musikfestwochen.ch/acts/band-it-finale/</t>
  </si>
  <si>
    <t>1659438273-104</t>
  </si>
  <si>
    <t>French Fries (CH)</t>
  </si>
  <si>
    <t>https://musikfestwochen.ch/acts/french-fries-ch/</t>
  </si>
  <si>
    <t>1659438273-132</t>
  </si>
  <si>
    <t>POETRY SLAM ABEND</t>
  </si>
  <si>
    <t>https://musikfestwochen.ch/acts/poetry-slam-abend/</t>
  </si>
  <si>
    <t>1659438273-99</t>
  </si>
  <si>
    <t>Connie Constance (UK)</t>
  </si>
  <si>
    <t>https://musikfestwochen.ch/acts/connie-constance-uk/</t>
  </si>
  <si>
    <t>1659438273-119</t>
  </si>
  <si>
    <t>Liraz (ISR)</t>
  </si>
  <si>
    <t>https://musikfestwochen.ch/acts/liraz-isr/</t>
  </si>
  <si>
    <t>1659438273-114</t>
  </si>
  <si>
    <t>KING KORA (CH)</t>
  </si>
  <si>
    <t>1659438273-91</t>
  </si>
  <si>
    <t>Bona Rhodes (CH)</t>
  </si>
  <si>
    <t>https://musikfestwochen.ch/acts/bona-rhodes-ch/</t>
  </si>
  <si>
    <t>1659438273-140</t>
  </si>
  <si>
    <t>SCHÖN &amp; GUT</t>
  </si>
  <si>
    <t>https://musikfestwochen.ch/acts/schoen-gut-ch/</t>
  </si>
  <si>
    <t>1659438273-128</t>
  </si>
  <si>
    <t>Palma Ada (CH)</t>
  </si>
  <si>
    <t>https://musikfestwochen.ch/acts/palma-ada-ch/</t>
  </si>
  <si>
    <t>1659438273-83</t>
  </si>
  <si>
    <t>Anouchka Gwen</t>
  </si>
  <si>
    <t>1659438273-88</t>
  </si>
  <si>
    <t>Batbait (CH)</t>
  </si>
  <si>
    <t>https://musikfestwochen.ch/acts/batbait-ch/</t>
  </si>
  <si>
    <t>1659438273-116</t>
  </si>
  <si>
    <t>LELE JAVEL (CH)</t>
  </si>
  <si>
    <t>https://musikfestwochen.ch/acts/lele-javel-ch/</t>
  </si>
  <si>
    <t>1659438273-151</t>
  </si>
  <si>
    <t>The Tallest Man On Earth (SWE)</t>
  </si>
  <si>
    <t>https://musikfestwochen.ch/acts/the-tallest-man-on-earth-swe/</t>
  </si>
  <si>
    <t>1659438273-113</t>
  </si>
  <si>
    <t>Katy J Pearson (UK)</t>
  </si>
  <si>
    <t>1659438273-85</t>
  </si>
  <si>
    <t>Asendorf (CH)</t>
  </si>
  <si>
    <t>1659438273-146</t>
  </si>
  <si>
    <t>Stereo Luchs (CH)</t>
  </si>
  <si>
    <t>https://musikfestwochen.ch/acts/stereo-luchs-ch/</t>
  </si>
  <si>
    <t>1659438273-94</t>
  </si>
  <si>
    <t>Catastrophe (FR)</t>
  </si>
  <si>
    <t>https://musikfestwochen.ch/acts/catastrophe-fr/</t>
  </si>
  <si>
    <t>1659438273-111</t>
  </si>
  <si>
    <t>Jeremias (D)</t>
  </si>
  <si>
    <t>https://musikfestwochen.ch/acts/jeremias-d/</t>
  </si>
  <si>
    <t>1659438273-125</t>
  </si>
  <si>
    <t>möf (CH)</t>
  </si>
  <si>
    <t>https://musikfestwochen.ch/acts/moef-ch/</t>
  </si>
  <si>
    <t>1659438273-147</t>
  </si>
  <si>
    <t>SULP (CH)</t>
  </si>
  <si>
    <t>https://musikfestwochen.ch/acts/sulp-ch/</t>
  </si>
  <si>
    <t>1659438273-101</t>
  </si>
  <si>
    <t>Emzyg (CH)</t>
  </si>
  <si>
    <t>https://musikfestwochen.ch/acts/emzyg-ch/</t>
  </si>
  <si>
    <t>1659438273-102</t>
  </si>
  <si>
    <t>Fontaines D.C. (IRL)</t>
  </si>
  <si>
    <t>https://musikfestwochen.ch/acts/fontaines-d-c-irl/</t>
  </si>
  <si>
    <t>1659438273-153</t>
  </si>
  <si>
    <t>VERY LITTLE CIRCUS</t>
  </si>
  <si>
    <t>https://musikfestwochen.ch/acts/very-little-circus/</t>
  </si>
  <si>
    <t>1659438273-84</t>
  </si>
  <si>
    <t>Arooj Aftab (PAK)</t>
  </si>
  <si>
    <t>https://musikfestwochen.ch/acts/arooj-aftab-pak/</t>
  </si>
  <si>
    <t>1659438273-90</t>
  </si>
  <si>
    <t>Black Midi (UK)</t>
  </si>
  <si>
    <t>https://musikfestwochen.ch/acts/black-midi-uk/</t>
  </si>
  <si>
    <t>1659438273-117</t>
  </si>
  <si>
    <t>LES TROIS SUISSES (CH)</t>
  </si>
  <si>
    <t>1659438273-154</t>
  </si>
  <si>
    <t>wackel:kontakt (CH)</t>
  </si>
  <si>
    <t>https://musikfestwochen.ch/acts/wackelkontakt-ch/</t>
  </si>
  <si>
    <t>1659438273-136</t>
  </si>
  <si>
    <t>Rantanplan (D)</t>
  </si>
  <si>
    <t>https://musikfestwochen.ch/acts/rantanplan-d/</t>
  </si>
  <si>
    <t>1659438273-93</t>
  </si>
  <si>
    <t>Büro (CH)</t>
  </si>
  <si>
    <t>https://musikfestwochen.ch/acts/buero-ch/</t>
  </si>
  <si>
    <t>1659438273-110</t>
  </si>
  <si>
    <t>HORA'BAND (CH)</t>
  </si>
  <si>
    <t>https://musikfestwochen.ch/acts/horaband-ch/</t>
  </si>
  <si>
    <t>1659438273-122</t>
  </si>
  <si>
    <t>MALMZEIT (CH)</t>
  </si>
  <si>
    <t>https://musikfestwochen.ch/acts/malmzeit-ch/</t>
  </si>
  <si>
    <t>1659438273-139</t>
  </si>
  <si>
    <t>Sad Night Dynamite (UK)</t>
  </si>
  <si>
    <t>https://musikfestwochen.ch/acts/sad-night-dynamite-uk/</t>
  </si>
  <si>
    <t>1659438273-124</t>
  </si>
  <si>
    <t>Minyo Crusaders (JP)</t>
  </si>
  <si>
    <t>1659438273-82</t>
  </si>
  <si>
    <t>Andrina Bollinger (CH)</t>
  </si>
  <si>
    <t>1659438273-138</t>
  </si>
  <si>
    <t>Russkaja (AT)</t>
  </si>
  <si>
    <t>https://musikfestwochen.ch/acts/russkaja-at/</t>
  </si>
  <si>
    <t>1659438273-120</t>
  </si>
  <si>
    <t>Los Dos (CH)</t>
  </si>
  <si>
    <t>https://musikfestwochen.ch/acts/los-dos-ch/</t>
  </si>
  <si>
    <t>1659438273-123</t>
  </si>
  <si>
    <t>Mel D (CH)</t>
  </si>
  <si>
    <t>https://musikfestwochen.ch/acts/mel-d-ch/</t>
  </si>
  <si>
    <t>1659438273-133</t>
  </si>
  <si>
    <t>Porridge Radio (UK)</t>
  </si>
  <si>
    <t>https://musikfestwochen.ch/acts/porridge-radio-uk/</t>
  </si>
  <si>
    <t>1659438273-135</t>
  </si>
  <si>
    <t>Psycho Weazel live (CH)</t>
  </si>
  <si>
    <t>https://musikfestwochen.ch/acts/psycho-weazel-live-ch/</t>
  </si>
  <si>
    <t>1659438273-115</t>
  </si>
  <si>
    <t>Kings of Convenience (NOR)</t>
  </si>
  <si>
    <t>https://musikfestwochen.ch/acts/kings-of-convenience-nor/</t>
  </si>
  <si>
    <t>1659438273-127</t>
  </si>
  <si>
    <t>Nichtseattle (D)</t>
  </si>
  <si>
    <t>https://musikfestwochen.ch/acts/nichtseattle-d/</t>
  </si>
  <si>
    <t>1659438273-148</t>
  </si>
  <si>
    <t>Swingscouts Crash-Tanzkurs</t>
  </si>
  <si>
    <t>https://musikfestwochen.ch/acts/swingscouts-crash-tanzkurs/</t>
  </si>
  <si>
    <t>1659438273-96</t>
  </si>
  <si>
    <t>Cleopatrick (CAN)</t>
  </si>
  <si>
    <t>https://musikfestwochen.ch/acts/cleopatrick-can/</t>
  </si>
  <si>
    <t>1659438273-89</t>
  </si>
  <si>
    <t>Black Country, New Road (UK)</t>
  </si>
  <si>
    <t>https://musikfestwochen.ch/acts/black-country-new-road-uk/</t>
  </si>
  <si>
    <t>1659438273-103</t>
  </si>
  <si>
    <t>Fräulein Luise</t>
  </si>
  <si>
    <t>https://musikfestwochen.ch/acts/fraeulein-luise-ch/</t>
  </si>
  <si>
    <t>1659438273-126</t>
  </si>
  <si>
    <t>MOKOŠ (CH)</t>
  </si>
  <si>
    <t>https://musikfestwochen.ch/acts/mokos-ch/</t>
  </si>
  <si>
    <t>1659438273-142</t>
  </si>
  <si>
    <t>SIMON CHEN (CH)</t>
  </si>
  <si>
    <t>https://musikfestwochen.ch/acts/simon-chen-ch/</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</si>
  <si>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</si>
  <si>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</si>
  <si>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</si>
  <si>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</si>
  <si>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</si>
  <si>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</si>
  <si>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</si>
  <si>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</si>
  <si>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</si>
  <si>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</si>
  <si>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</si>
  <si>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</si>
  <si>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</si>
  <si>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</si>
  <si>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</si>
  <si>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</si>
  <si>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</si>
  <si>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</si>
  <si>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</si>
  <si>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</si>
  <si>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</si>
  <si>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</si>
  <si>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</si>
  <si>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</si>
  <si>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</si>
  <si>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</si>
  <si>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</si>
  <si>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</si>
  <si>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</si>
  <si>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</si>
  <si>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</si>
  <si>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</si>
  <si>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</si>
  <si>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</si>
  <si>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</si>
  <si>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</si>
  <si>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</si>
  <si>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</si>
  <si>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</si>
  <si>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</si>
  <si>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</si>
  <si>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</si>
  <si>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</si>
  <si>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</si>
  <si>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</si>
  <si>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</si>
  <si>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</si>
  <si>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</si>
  <si>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</si>
  <si>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</si>
  <si>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</si>
  <si>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</si>
  <si>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</si>
  <si>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</si>
  <si>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</si>
  <si>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</si>
  <si>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</si>
  <si>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</si>
  <si>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</si>
  <si>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</si>
  <si>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</si>
  <si>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</si>
  <si>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</si>
  <si>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</si>
  <si>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</si>
  <si>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</si>
  <si>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</si>
  <si>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</si>
  <si>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</si>
  <si>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</si>
  <si>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</si>
  <si>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</si>
  <si>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</si>
  <si>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startformat</t>
  </si>
  <si>
    <t>Dienstag 16.08.2022 20:15</t>
  </si>
  <si>
    <t>Donnerstag 18.08.2022 19:15</t>
  </si>
  <si>
    <t>Dienstag 16.08.2022 19:45</t>
  </si>
  <si>
    <t>Samstag 13.08.2022 18:00</t>
  </si>
  <si>
    <t>Freitag 12.08.2022 20:30</t>
  </si>
  <si>
    <t>Sonntag 14.08.2022 20:30</t>
  </si>
  <si>
    <t>Donnerstag 18.08.2022 20:30</t>
  </si>
  <si>
    <t>Donnerstag 11.08.2022 18:30</t>
  </si>
  <si>
    <t>Sonntag 14.08.2022 17:15</t>
  </si>
  <si>
    <t>Samstag 13.08.2022 21:45</t>
  </si>
  <si>
    <t>Samstag 20.08.2022 22:00</t>
  </si>
  <si>
    <t>Freitag 12.08.2022 23:00</t>
  </si>
  <si>
    <t>Mittwoch 10.08.2022 20:30</t>
  </si>
  <si>
    <t>Freitag 12.08.2022 21:15</t>
  </si>
  <si>
    <t>Donnerstag 18.08.2022 11:45</t>
  </si>
  <si>
    <t>Samstag 13.08.2022 20:15</t>
  </si>
  <si>
    <t>Sonntag 21.08.2022 14:00</t>
  </si>
  <si>
    <t>Samstag 13.08.2022 20:30</t>
  </si>
  <si>
    <t>Donnerstag 11.08.2022 19:15</t>
  </si>
  <si>
    <t>Donnerstag 18.08.2022 21:30</t>
  </si>
  <si>
    <t>Sonntag 21.08.2022 16:45</t>
  </si>
  <si>
    <t>Mittwoch 17.08.2022 19:30</t>
  </si>
  <si>
    <t>Dienstag 16.08.2022 19:30</t>
  </si>
  <si>
    <t>Freitag 12.08.2022 11:45</t>
  </si>
  <si>
    <t>Mittwoch 17.08.2022 15:00</t>
  </si>
  <si>
    <t>Sonntag 14.08.2022 18:15</t>
  </si>
  <si>
    <t>Donnerstag 18.08.2022 20:00</t>
  </si>
  <si>
    <t>Montag 15.08.2022 19:45</t>
  </si>
  <si>
    <t>Montag 15.08.2022 20:30</t>
  </si>
  <si>
    <t>Mittwoch 17.08.2022 20:15</t>
  </si>
  <si>
    <t>Samstag 13.08.2022 14:00</t>
  </si>
  <si>
    <t>Freitag 12.08.2022 18:30</t>
  </si>
  <si>
    <t>Donnerstag 18.08.2022 20:15</t>
  </si>
  <si>
    <t>Samstag 13.08.2022 19:10</t>
  </si>
  <si>
    <t>Donnerstag 11.08.2022 20:30</t>
  </si>
  <si>
    <t>Montag 15.08.2022 20:15</t>
  </si>
  <si>
    <t>Mittwoch 10.08.2022 19:30</t>
  </si>
  <si>
    <t>Samstag 20.08.2022 20:15</t>
  </si>
  <si>
    <t>Sonntag 14.08.2022 16:00</t>
  </si>
  <si>
    <t>Mittwoch 17.08.2022 18:45</t>
  </si>
  <si>
    <t>Dienstag 16.08.2022 18:45</t>
  </si>
  <si>
    <t>Freitag 12.08.2022 20:00</t>
  </si>
  <si>
    <t>Freitag 19.08.2022 20:40</t>
  </si>
  <si>
    <t>Mittwoch 10.08.2022 18:30</t>
  </si>
  <si>
    <t>Donnerstag 11.08.2022 21:30</t>
  </si>
  <si>
    <t>Sonntag 14.08.2022 19:00</t>
  </si>
  <si>
    <t>Mittwoch 10.08.2022 20:15</t>
  </si>
  <si>
    <t>Mittwoch 17.08.2022 11:45</t>
  </si>
  <si>
    <t>Sonntag 14.08.2022 20:15</t>
  </si>
  <si>
    <t>Donnerstag 18.08.2022 18:30</t>
  </si>
  <si>
    <t>Sonntag 21.08.2022 20:00</t>
  </si>
  <si>
    <t>Samstag 20.08.2022 14:00</t>
  </si>
  <si>
    <t>Mittwoch 17.08.2022 19:45</t>
  </si>
  <si>
    <t>Sonntag 21.08.2022 18:15</t>
  </si>
  <si>
    <t>Sonntag 21.08.2022 20:15</t>
  </si>
  <si>
    <t>Freitag 12.08.2022 19:15</t>
  </si>
  <si>
    <t>Samstag 20.08.2022 18:45</t>
  </si>
  <si>
    <t>Sonntag 14.08.2022 15:00</t>
  </si>
  <si>
    <t>Freitag 12.08.2022 20:15</t>
  </si>
  <si>
    <t>Donnerstag 11.08.2022 20:00</t>
  </si>
  <si>
    <t>Samstag 13.08.2022 20:45</t>
  </si>
  <si>
    <t>Samstag 20.08.2022 20:00</t>
  </si>
  <si>
    <t>Freitag 19.08.2022 20:15</t>
  </si>
  <si>
    <t>Dienstag 16.08.2022 11:45</t>
  </si>
  <si>
    <t>Montag 15.08.2022 18:45</t>
  </si>
  <si>
    <t>Samstag 13.08.2022 23:00</t>
  </si>
  <si>
    <t>Freitag 19.08.2022 22:30</t>
  </si>
  <si>
    <t>Mittwoch 17.08.2022 20:30</t>
  </si>
  <si>
    <t>Dienstag 16.08.2022 19:15</t>
  </si>
  <si>
    <t>Samstag 13.08.2022 19:30</t>
  </si>
  <si>
    <t>Matinée der Musikschulen</t>
  </si>
  <si>
    <t>https://musikfestwochen.ch/acts/matinee-der-musikschulen/</t>
  </si>
  <si>
    <t>Sonntag 14.08.2022 12:00</t>
  </si>
  <si>
    <t>Grace Cummings</t>
  </si>
  <si>
    <t>Donnerstag 18.08.2022 19:30</t>
  </si>
  <si>
    <t>https://musikfestwochen.ch/acts/grace-cummings-aus/</t>
  </si>
  <si>
    <t>Kindermalen</t>
  </si>
  <si>
    <t>Sonntag 14.08.2022 14:00</t>
  </si>
  <si>
    <t>Rundum Familine Plausch</t>
  </si>
  <si>
    <t>Theatersport</t>
  </si>
  <si>
    <t>Sonntag 14.08.2022 16:30</t>
  </si>
  <si>
    <t>Sonntag 17.08.2022 14:00</t>
  </si>
  <si>
    <t>Samstag 13.08.2022 19:50</t>
  </si>
  <si>
    <t>1</t>
  </si>
  <si>
    <t>Folk,Country</t>
  </si>
  <si>
    <t>Eine alte Zigarrenschachtel am Monomontag legte den Grundstein für dieses feine kleine Indie Folk Trio, das mit charmanten Erzählungen und gefühlvollen Arrangements zu überzeugen weiss.
Zu den drei ineinander verwobenen Stimmen gesellen sich akustische Instrumente und werden zu einem Teppich, auf dem Bona Rhodes zart rebellierend ihr Publikum umhüllen.</t>
  </si>
  <si>
    <t>Indie-Pop</t>
  </si>
  <si>
    <t>Szenen aus dem Leben des MFW-Bookers, wenn er Jeremias hört: Hat mich jemand beim Tänzeln im Homeoffice gesehen? Habe ich beim Spazierengehen zu laut mitgeträllert? Bin ich cringe? Klare Antwort: Egal! Guter Pop darf und soll sowas bewirken. Das ist sogar sein Job, sozusagen. Zu Jeremias: Das Top-10-Debutalbum des Quartetts um Namensgeber, Sänger und Pianist Jeremias Heimbach war 2021 einer der musikalischen Lichtblicke. Elf Tracks, die jeder eine Geschichte für sich erzählen, musikalisch und textlich ausgereift sind. Es geht viel um jugendliche Sehnsucht und um das Weglaufen. Jeremias posieren, sind unbeschwert, finden Funk cool. Ihr Sound ist tanzbar und sexy, reduziert und groovend zugleich, manchmal theatralisch. Sie leben so, wie sie wollen, schreiben darüber und spielen das dann einfach. Nicht mehr und nicht weniger.</t>
  </si>
  <si>
    <t>Punk Psych,Surf Rock</t>
  </si>
  <si>
    <t>In einem kleinen Landhaus in Kanada sitzen sieben Personen gemeinsam im Studio: Hidetaka Yoneyama aus London ist Japanischlehrer und Bassist. Neben ihm sitzt Etienne Lebel aus Okanagan Falls. Er spielt Posaune und ist Experte für bulgarische Kultur. Yuki Isami spielt Querflöte und ist professionelle Synchronschwimmerin. Ian Lettre an den Drums ist Jazz-Virtuose. Mishka Stein aus der Ukraine spielt lässig die E-Gitarre. Maya Kuroki schreibt Gedichte und singt, und Serge Nakauchi-Pelletier bringt leidenschaftlich Hip-Hop-Einflüsse in den Mix. Was bei sowas am Ende wohl rauskommt? Das Debutalbum «Shirushi» von TEKE::TEKE. Eine klangliche Achterbahnfahrt von Punk-Psych, Surf-Rock Riffs bis hin zu mystischen Flöten. Kurzum: Die Kanadier:innen sind unfassbar vielfältig und somit mehr als prädestiniert für den Eröffnungsabend der 47. Winterthurer Musikfestwochen.</t>
  </si>
  <si>
    <t>Hip-Hop</t>
  </si>
  <si>
    <t>«Kaputte Musik für kaputte Menschen», so fasst das Lyrics-Magazin die Musik von Hatepop zusammen. Auf ihrem Debütalbum «¥UNG FUCKUP$» geht es um Drogen, Orientierungslosigkeit, Einsamkeit, Melancholie und Scheitern, kurz: um die dunklen Seiten der eigenen Existenz. Das Kollektiv will damit nicht gefallen, sondern der Leistungsgesellschaft den Spiegel vorhalten – genauso, wie es Kollektivmitglied Jessica Jurassica in ihrem Debütroman «Das Ideal des Kaputten» tat. Die Industrial-Trap-Songs von Hatepop sind eine elaborierte Form von Kritik an diskriminierenden und toxischen Mechanismen. Dass es anders geht, wird vorgelebt: Hatepop ist als Kollektiv organisiert, die kreativen und ideellen Entscheidungen treffen die Mitglieder nicht als Einzelpersonen, sondern immer gemeinsam.</t>
  </si>
  <si>
    <t>Erdbeertörtli, ein Wort, das vor allem in unserem breiten Ostschweizer Dialekt phänomenal klingt. ÄODBEOTÖOTLI (ɛɒpe:ɒtəɒtli). Projekt ET kommen vom Planet Erdbeertörtli. Oder gleich mit dem gesamten ET-Planeten. Ihr Debüt-Album entpuppt sich als eine abwechslungsreiche, gesellschaftskritische und dennoch witzige Reise durch das Universum der beiden. Lange als Ostschweizer-Geheimtipp gehandelt, haben sie sich dort von Bühne zu Bühne (Gare de Lion, Grabenhalle, Albani, Orient, uvw.) gepogt und sich stabiler Live-Act entwickelt. Zwischen Moshpit, HipHop-Hände und «tanzen-wie-wenn-keiner zusieht» deckt das Trio um Epik, Takle und DJ Tr11sh ziemlich alles ab, was für einen gelungenen Abend nötig ist.</t>
  </si>
  <si>
    <t>Dub,Hip-Hop</t>
  </si>
  <si>
    <t>Mit ihren je knapp 20 Lebensjahren legen Josh Greacen und Archie Blagden bereits eine beeindruckend komplexe Mixtur aus Sounds und Storytelling an den Tag. Ein fast gespenstisches Gebräu aus Hip-Hop, Dub und urbanem Pop wabert einem auf ihrem selbstbetitelten Debutalbum entgegen. Vergleiche mit den majestätischen Gorillaz verbieten sich hier keineswegs – das könnte aus soundästhetischer Sicht auch daher rühren, dass die Songs in Damon Albarns Studio 13 aufgenommen wurden. Aktuell als Support mit Glass Animals auf Tour, im Sommer u.a. bei Melt, Best Kept Secret, Primavera oder Lowlands Festival – und eben auch mit ihrer ersten Show in der Schweiz an den Musikfestwochen. Da fühlen wir uns schon ein ganz kleines bisschen gebauchpinselt.</t>
  </si>
  <si>
    <t>Orient Funk,Jazz,Psychedelic Grooves</t>
  </si>
  <si>
    <t>Eine israelische Sängerin singt auf Farsi. Ihre Familie warnte, sie werde in einer Nische landen. «Nische klingt toll für mich», hat Liraz Charhi geantwortet. Man könnte es eine subversive Diplomatie nennen, welche die Israeli mit ihrer Musik vorantreibt: Für ihr Album «Zan» hat sie heimlich mit Musikern aus dem Iran zusammengearbeitet. Iran und Israel stehen sich seit Jahrzehnten verfeindet gegenüber. Offiziell soll es keinen Kontakt zwischen den beiden Ländern geben. Dann aber gibt es Menschen wie Liraz Charhi. Musikalisch trifft hier Orient auf Okzident. Elektronische Synthiebeats werden mit persischen Retroklängen gemixt. Dieser kulturelle Clash ist zwar im Untergrund entstanden, aber längst zu gut, zu treibend, zu gross und gehört gehört. Überall.</t>
  </si>
  <si>
    <t>Züri-Dütsch und Autotune haben sich bei Stereo Luchs als erstaunlich stimmige Einheit erwiesen, und wohl keine:r in der Schweiz hat den Dancehall so geprägt wie er. Der Zürcher, der am musikalischen Puls der Zeit moodgetränkte, messerscharfe Bilder malt, veröffentlicht Ende 2021 sein drittes Studioalbum. Prädikat: unverschämt lässiger Flow im Einklang mit cleveren Lyrics. Die Top-5-Platzierung in den Albumcharts nur mal so am Rande erwähnt. Ultrapersönlich und gespickt mit Elementen aus Trap und Cloudrap schafft es Stereo, das Melancholische und die Euphorie erstaunlich nah aneinander zu rücken. «Wänn händ mir eus alli s’letztmal gseh? Fräg mi nöd – ich weiss nume es isch vill z’lang her!»</t>
  </si>
  <si>
    <t>Klassik Nuevo</t>
  </si>
  <si>
    <t>Egal ob als Intendantin des «Klassik Nuevo»-Festivals in Winterthur oder als vielseitige Solistin im In- und Ausland: Sira Eigenmann vermag ein breites Publikum für klassische Musik zu begeistern. Ihren Stil nennt sie dann auch «Klassik Nuevo» – neu gedacht, neu arrangiert, neu entdeckt. Die Violinistin geht dabei Kooperationen mit verschiedenen Orchestern ein – u.a. Argovia Philharmonic, Musikkollegium, Zürcher Kammerorchester –, aber eben auch mit Rockbands oder der portugiesischen Fado-Sängerin Carminho. Sie bewegt sich in einer Welt zwischen klassischer Musik und World Music. Und auf ihrer Violine überzeugt sie dabei immer mit Leichtigkeit und Virtuosität. Bei uns eröffnet sie die Reihe «Musik über Mittag» und kommt dafür allein mit ihrer Violine vorbei. Ohne Schnickschnack, ohne nix.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</si>
  <si>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Rock</t>
  </si>
  <si>
    <t>Im Bewerbungsschreiben stand: «Hallo, wir sind French Fries aus Winterthur und würden gerne zeigen, wie wir die Härdöpfel frittieren.» Fanden wir lustig, Musik fanden wir super. Und den Startrampen-Auftritt letzten Sommer bei uns im Rychenbergpark auch. Weitere Ausrufezeichen haben die beiden zudem bereits im Rahmen der Demotape Clinic des m4music 2021 gesetzt, als sie in den Top 10 der besten Rocksongs landeten. Von daher war die Sachlage klar: Dieses knusprige Duo möchten wir gerne an die Winti Night auf die grosse Bühne einladen. Gesagt, getan. Frisch aus der Fritteuse zeigt das Duo, wie man ordentlich draufhaut. French Fries klingen, als ob Billy Corgan und Dave Grohl total betrunken versuchen würden, das Slipknot Album «Iowa» zu covern. Die Winterthurer sind qualitativ auf dem Level von OnThur-Bar-Pommes. Mindestens.</t>
  </si>
  <si>
    <t>Pop</t>
  </si>
  <si>
    <t>Zusammengelötete Songformen und Verschleisserscheinungen an der Batterie des aktiven Bass Pick-Ups sorgen für überdurchschnittlich laute Musik. Grooves mit Herstellungsfehlern und Synthpatches mit lockeren Steckverbindungen könnten jeglichen Übergangswiderstand im Tanzbein aufheben. Fast alle auf der Bühne sind Mate-süchtig. Einfache Hymnen zum Mitsingen (unterstützt durch Produktplatzierungen) mit Texten tiefer als eine verstopfte Kopfhörerbuchse.</t>
  </si>
  <si>
    <t>Mit seinen lakonischen Texten liefert Lele Javel auf seinem im April veröffentlichten ersten Album «Ich als Chance» den idealen Soundtrack zum Nachdenken über das Menschsein. Klingt anstrengend, ist es aber nicht. Denn musikalisch verpackt Lele Javel seine Gedanken in Watte, in augenzwinkernden Vintage-Pop zwischen driftenden Synth-Klängen und akustischen Grooves. Auf den Sounds seiner Philicorda-Orgel fliegt der Winterthurer durch die Zeiten, macht Halt in den 60er-Jahren und packt ein, was er auf seinem Trip durch die Stile findet: Autoharp, Omnicord und Blockflöte, Klänge von Tontöpfen, Kuhglocken oder Styroporklötzen. Darunter legt er gradlinige Drums, groovige Basslinien und Trompeten-Soli, eingespielt von handverlesenen Gast-Musikern wie Mattia Ferrari, Nico Feer, Ernst David Hangartner und Reto Karli. Die entstandene erfrischende Mischung legt die Basis für Lele Javels Gesang: mit grossen Themen in knappen Worten, mal ironisch, mal in Rätseln, mit Weltschmerz und Zuversicht.</t>
  </si>
  <si>
    <t>Krautpop</t>
  </si>
  <si>
    <t>Metal für alle Lebenslagen! Unkompliziert, klimaschonend, bürgernah!
MALMZEIT ist ein mutmasslich weltweit einzigartiges HEAVY ME(N)TAL DUO (D/CH), das nur sitzend, teetrinkend und gut gekleidet auftritt. Alle Songtexte handeln einzig vom grossen, im Metal bis anhin ehern vernachlässigten Thema Nummer Drei: dem Wetter. Im Jahre 2003 gründeten SUMATRA BOP (Gitarre/Beats) und EARL GREY (Kehle/Bass) den mutmasslich weltweit ersten und bis dato einzigen HEAVY ME(N)TAL LIEFERSERVICE und beliefern seitdem Geburtstagsfeiern, Begräbnisse, Schiffstaufen, Konfirmationen, Vernissagen und Richtfeste mit Mini-Metal-Konzerten on demand. Das einmalige, annähernd CO2-neutrale Angebot eignet sich für Spiessbürger, Bildungsbürger und Wutbürger gleichermassen. Als mutmasslich weltweit letzte kammermetallische LIVE-ONLY-BAND veröffentlichen MALMZEIT keinerlei Tonträger; ganz im Gegensatz zu MALMSTEIN, dem 2020 gegründeten, mutmasslich weltweit einzigartigen HEAVY META DUO (D/CH), das ausschliesslich MALMZEIT-Coverversionen spielt und ausschliesslich aus Mitgliedern von MALMZEIT besteht.
 Mit: Jochen Neuffer und Jörg Scheller alias Sumatra Bop und Earl Grey</t>
  </si>
  <si>
    <t>Kabarett, Heavy Metal</t>
  </si>
  <si>
    <t>Kalabrese gehört zu den bunteren Figuren im Zürcher Nacht- und Musikzirkus. Bereits als Kind war Sacha Winkler alias Kalabrese fasziniert von den Rhythmen der Musik. Musikalisch sozialisiert mit der elterlichen Plattensammlung, die von Miles Davis über Fela Kuti bis Frank Zappa und The Doors reichte. Mit zwölf gab es das erste Schlagzeug, Musikstunden folgten und bald darauf spielte er in diversen Bands. Swing und Funk musste man Sacha nicht erklären, er hatte ihn bereits gefunden. Die Eigenständigkeit im Sound und im Spiel des Zürchers bewirkte, dass man seine Veröffentlichungen fortan in den Plattenkoffern von Grössen wie Laurent Garnier, Solomun, Rainer Trüby und vielen anderen wiederfand. Wenn Kalabrese mit dem Rumpelorchester zusammenspannt, gilt eine Prämisse: Funktionale Perfektion ist nett, aber die wahre Schönheit liegt im Rumpeln. Wir lehnen uns mal kurz aus dem Fenster: Am Freitagabend, 12. August, könnte auf dem Kirchplatz einer der prägendsten Augenblicke der Festivalausgabe 2022 stattfinden. Fenster zu – ihr findet das MFW-Team vor der Bühne!</t>
  </si>
  <si>
    <t>Rumpeltanz</t>
  </si>
  <si>
    <t>Folk,Pop</t>
  </si>
  <si>
    <t>Ginger And The Alchemists liefern einmal grosse Emotionen frei Haus,
mehrstimmig, sanft, überwältigend. Wie ein Hauch frischer Luft setzt die ungefilterte emotionale Ehrlichkeit einen Gegensatz zu einer Welt, in der nach unerreichbarer Perfektion
gestrebt wird. Wunderschön melancholisch und offen, so wie sich der Himmel nach einem
Sturm anfühlen muss, erzählt Ginger mit ihrer zerbrechlichen und doch so kraftvollen
Stimme direkt aus ihrem Leben.
«Ginger And The Alchemists» berühren nicht nur live, wie sie es bereits auf über 100 Bühnen
bewiesen haben, sondern bestechen auch auf Studioproduktionen aus dem eigenen Lab. Mit
den ersten 2 EP’s erreichte die Band schweizweit Radio Airplays und Playlist Platzierungen.
Das Debut Album «better now» erscheint im Herbst 2022.</t>
  </si>
  <si>
    <t>Von den ersten Schritten bis zu einem sorgenfreien Leben ist es ein langer Weg. Pedro dokumentiert die Gefühle zwischen Selbstfindung und Zweifel, Schmerz und Schönheit. In seinem Conscious Rap, inhaltspolitisch und sozialkritisch motiviert, erzählt er von Themen wie Sucht, Familie, Beziehungen und Freundschaften. Manchmal direkt und unmissverständlich, manchmal versteckt hinter Strassen-Attitüde, fröhlicher Leichtigkeit oder dem schrottigen Auto eines Freundes. Die Texte sind persönlich, geschrieben in der Hoffnung, dass sich andere damit identifizieren. Denn Pedro ist kein Mann für halbe Sachen – auch live nicht: Zusammen mit dem Winterthurer Ausnahme-Hip-Hop-Live-Ensemble The Legacy untermalt und interpretiert Pedro die letzten zehn Jahre seines Musikschaffens an der Winti Night neu. Das Konzert wird live aufgenommen und auf Vinyl gepresst. «Beleza», wie die Platte heissen wird, erscheint dann im Herbst. Wie gesagt: Pedro macht keine halben Sachen.</t>
  </si>
  <si>
    <t>Diverse Stile</t>
  </si>
  <si>
    <t>Das Festival für junge Musikerinnen und Musiker
Get on stage! Zahlreiche junge Acts aus dem Kanton Zürich haben um die acht begehrten Band-it-Finalplätze gespielt, gerappt und gesungen. Folgende Bands haben es ins Finale geschafft:
    Tomssonic 14:00
    Qeller 14:35
    Mace Dispute 15:10
    Akindo 15:45
    Two and a Half Twins 16:20
    Lou Kaena &amp; Said 16:55
    Follia 17:30
    The Black Edition 18:15
Moderiert wird das Finale von jungen Talenten, die die Bands bereits durch die Qualifikationen begleitet haben</t>
  </si>
  <si>
    <t>60er,Psyche Rock</t>
  </si>
  <si>
    <t>Der Züritipp meint: «Eine Genfer Band startet durch – mit einer Mischung aus Electronica, Psychedelic und 60s-Pop. Und sie verehren das Variété. Unsere Empfehlung: ‹Écoutez!›» Da schliessen wir uns doch einfach mal an. 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nach Winti.</t>
  </si>
  <si>
    <t>Indie Rock, Alternative Pop</t>
  </si>
  <si>
    <t>Da will sich jemand nicht verbiegen lassen. Das Major Label wollte aus Connie Constance eine möglichst kantenlose, schön produzierte und nett daherkommende Künstlerin formen. So weit so Musikbusiness-Alltag, aber halt auch schrecklich langweilig, diese Kopien von oft gehörten und umso öfter vergessenen Stimmen, die im Radio tagtäglich daherdudeln. Zum Glück hat die Engländerin gewehrt. Von dieser Erfahrung emanzipiert und künstlerisch gestärkt, begeistert sie nun umso mehr – mit einer neu gewonnenen Bedroom-Indiepop-Attitüde à la Nilüfer Yanya. Ihre aktuelle EP «Prim &amp; Propa» strotzt vor Lust: Lust auf grosse Songs, ohne dabei nett sein zu müssen. Musik mit richtig Wucht und Drive, gerne auch mal schroff phrasiert wie bei Electric Girl. Diesen Sommer teilt sich Connie Constance u.a. mit Patti Smith und den Chemical Brothers die Festivalbühnen. Kontrast der passt</t>
  </si>
  <si>
    <t>Fräulein Luise haben im Sommer 2021 im Büelpark unser Publikum und die Jury des Band-It-Finales für sich gewonnen. Das wird mit einem Slot auf der Kirchplatzbühne belohnt! Die vierköpfige Zürcher Band macht deutschen, schweizerdeutschen und französischen Indie Pop und glänzt dabei mit hervorragenden Liedtexten.</t>
  </si>
  <si>
    <t>World Chansons</t>
  </si>
  <si>
    <t>Lümé bedeutet auf Rumänisch «Welt», Lümé bedeutet auch in der Fantasiesprache des östlichen Tsulyanu «verlangsamen, anhalten», um sich der Welt zu öffnen … der inneren Welt und der Natur.
Lümé ist wie ein Phönix, der aus der Asche aufsteigt, mit dem Wunsch, von jedem Musiker die Kraft und den Atem aller Winde der Reise mitzubringen. Sie spielen Lieder mit Akzenten aus aller Welt, von sechs bemerkenswerten Musikern und einer schelmischen und kommunikativen Sängerin getragen. Ein Konzert, das die Seele und den Körper bewegt, wie eine Hymne an das Leben, eine fröhliche Frechheit.
Mit:
Chant: Stéphanie Quastana
Batterie: Florent Tissot
Contrebasse: Nicolas Penz
Guitare rythmique: Alexandre Saintives
Banjo, Charango et Guitare: Sébastien Venturini
Clarinette, Sax Soprano, Sax Baryton: Jonathan Delachaux</t>
  </si>
  <si>
    <t>Post Punk,Hip-Hop,Alternative</t>
  </si>
  <si>
    <t>Wow. Da standen wir ein bisschen ratlos, aber gleichzeitig restlos begeistert rum, nachdem wir Wu-Lu im März erstmals live gesehen hatten. Ab der Live-Wucht musste Mensch sich da erstmal sammeln. Miles Romans-Hopcraft spannt wie niemand anderes einen erfrischenden Bogen zwischen scheinbar unvereinbaren Musikwelten: Nachdem er jahrelang mit Lo-Fi-Sounds, psychodelischen Gitarren und schrägem Hip-Hop experimentiert hat, entwickelte der Multi-Instrumentalist und Produzent nun einen Sound, der zur neuen Generation Post-Punk, Dub &amp; Alternative-Hip-Hop-Szene gehört. Seine Musik schreibt der Londoner für diejenigen, die keine Stimme haben. Selbst in Brixton aufgewachsen, geht es in seinen Songs um die Veränderungen in seiner Heimatstadt, insbesondere um die Erfahrungen junger Erwachsener. Das Debutalbum, an dem Wu-Lu mit Morgan Simpson von Black Midi am Schlagzeug arbeitet und das beim Über-Label Warp Records erscheinen wird, ist zum Teil durch diese Geschichten inspiriert.</t>
  </si>
  <si>
    <t>New New Wave</t>
  </si>
  <si>
    <t>Und zack, schon wieder kreist der Ohrwurm leichter//kälter den ganzen Tag durch den Kopf. Edwin Rosen, das ist New-Wave-Ästhetik, das ist vertonte Analog-Fotografie, möchte man fast meinen. Bei dem jungen Stuttgarter ist der Hype mit glasklar musikalischer Substanz unterfüttert. Klare, kühle, klirrende Gitarrenriffs, die durchaus in der Ästhetik der russischen Post-Punk-Szene um Acts wie Motorama oder Molchat Doma verortet werden dürfen. Da wird so knallhart der Puls der Zeit getriggert, dass es fast verboten gut ist. Praktisch aus dem Klassenzimmer ging es seit Anfang 2020 schnurstracks nach oben: Die Headline-Tour im Mai/Juni 2022 ist längst komplett ausverkauft, die Algorithmen der Streamingdienste kommen mit den Klickzahlen kaum hinterher und wir sind einfach mächtig gespannt. Vorfreudigst gespannt. Und irgendwie auch geschmeichelt, denn Edwin Rosen – live im Duo auf der Bühne – spielt an den Musikfestwochen seine einzige Schweizer Festivalshow.</t>
  </si>
  <si>
    <t>Deep-House-Disco</t>
  </si>
  <si>
    <t>Psycho Weazel sind das aktuell aufregendste Electronic-Body-Music-Projekt der Schweiz. Zwischen Neuenburg und Genf zuhause, arbeiten Ivo Roxo und Léo Besso bereits seit mehr als zehn Jahren zusammen an ihren hedonistischen Deep-House-Tracks, die sie mit Disco und New-Wave anreichern und mit Live-Instrumenten einspielen. Das Duo versteht sich als DJs und Produzenten mit einem künstlerischen Ansatz: Sie experimentieren nicht nur mit verschiedenen elektronischen Genres, sondern auch mit neuen Medien, und komponieren unter anderem auch Soundtracks für Theater- und Filmproduktionen. 2022 sind sie mit einer neuen Live-Performance auf Tour und machen Halt an den Musikfestwochen. Tipp aus dem Booking-Büro!</t>
  </si>
  <si>
    <t>Die HORA’BAND scheint ihr eigenes Universum zu bewohnen. Die bezaubernd-elektrisierende Musik des Sechsergespanns lebt von feierlichen Klängen, authentischen Emotionen und Atmosphäre. Mit diversen Gitarren, Wurlitzer-Orgel, Banjo, Schlagzeug und Glockenspiel fabrizieren
die HORAs ihren Sound. Dazu kommt die Stimme von Denise Wick Ross, so individuell, wie man sie im Pop kaum mehr antrifft. Ein Wiedersehen nach fünf Jahren wird Tatsache – das Festivalteam freut sich sehr fest drauf.</t>
  </si>
  <si>
    <t>Bühne frei für den Nachwuchs: Die Musikschüler:innen der drei Winterthurer Musikschulen Prova, Jugendmusikschule und Konservatorium zeigen ihr Können. Nachwuchsförderung ist uns wichtig – deshalb machen wir Platz auf der grossen Steibibühne. Wer weiss – für die eine oder den anderen ist der erste Auftritt auf der Mainstage der Startschuss in eine Musikkarriere. Wie aufregend!</t>
  </si>
  <si>
    <t>Palma Ada kommt aus der Filmbranche, hat in London und New York Filmproduktion studiert und schon so manchen Schweizer Künstler:innen bei der visuellen Umsetzung ihrer Projekte geholfen. Über Umwege fand sie inzwischen ihren Platz in der Musik: Für den Film «Wolkenbruch» wurde sie spontan von ihrem Produzenten Michael Schertenleib angefragt, zwei Songs – You und Sister – beizusteuern. Zwei Jahre später erschien mit «Straight Lines» die erste EP der Zürcher Pop-Sängerin. Ihre Songs drehen sich gerne mal um die Barbarei in einer Gesellschaft, die von ihrem Weg abgekommen ist. True that. Nach Kollaborationen mit Jimi Jules, Pablo Nouvelle und Kalabrese (am 12. August bei uns auf dem Kirchplatz!) arbeitet sie aktuell an ihrem Debütalbum. Wir konnten schon vorab reinhören und verraten nur so viel: Da werden auch mal Synthesizer-Klänge mit fetten Technobeats unterlegt. Film aus, Ton an!</t>
  </si>
  <si>
    <t>Palma Pop</t>
  </si>
  <si>
    <t>CMAT ist kein neues Gen-Z-Akronym – es steht für Ciara Mary-Alice Thompson, eine humorvolle, bissige 25-Jährige aus Dublin. Im März erschien ihr von Kritiker:innen hochgelobtes Debutalbum, dessen bubbelgum-glamouröser Country-Pop sich an den Grössen aus Nashville orientiert und gleichzeitig aber auch auf Robbie Williams, Philip Larkin, Waitrose und die irische Schriftstellerin Marian Keyes verweist. «Die einzige Möglichkeit, im Jahr 2022 Country-Musik zu machen, besteht darin, sie komplett zu bastardisieren», sagte sie letztes Jahr dem NME und fügte hinzu, dass ihr Musikstil eine Mischung aus Dolly Parton, Weird Al Yankovic und Katy Perry sei. Damit sollten alle Klarheiten beseitigt sein und wir schliessen mit der Konklusion, dass CMAT eine Kombination liefert, von der man nie wusste, dass man sie braucht. Yee-haw! PS: Ohrwurm-Gefahr lauert insbesondere beim Song I Wanne Be A Cowboy, Baby! – unbedingt nicht anhören!</t>
  </si>
  <si>
    <t>Glam Country,Yee-haw!Pop</t>
  </si>
  <si>
    <t>Chanson Pop</t>
  </si>
  <si>
    <t>Ein Treffen unter dem Firmament der Stadt des Lichts.
Lily Claire betritt die Herzen der Liebenden und lenkt ihre Melancholie auf den stürmischen Himmel.  Der tiefe und warme Klang ihrer Stimme entführt uns mit dem Herzen eines Kindes und der Leichtigkeit einer Schwalbe. Lily Claire, eine sanfte und zeitlose französische Stimme aus Zürich. Der Vater aus Paris, die Mutter Suisse-Romande, die Erinnerung süsser Stunden duften aus jedem Klang.
Lily Claire tritt an den Musikfestwochen mit ihrer 5-köpfigen Band und einer frischen EP aus der Bretagne auf.
Die Bandmitglieder kommen alle aus Winterthur und werden am Sonntag ein romantisches Heimspiel haben.</t>
  </si>
  <si>
    <t>Blendende, auf- und abhüpfende Grundstimmung: Das ist, was beim Blick durch das Kaleidoskop auf die farblich auffällig gekleideten Mitglieder des Ensembles Catastrophe hervortritt. Die Melange verschiedenster musikalischer Genres in der Tradition französischer Avantgarde spannt sich auf wie ein bunt gefächertes Pfauenrad. Einfallsreichtum, Kreativität und Nonchalance sind die Antriebskräfte dessen, was es hier auf die Ohren gibt. Beim Zuhören am besten an den Titel des Debütalbums denken: «La nuit est encore jeune». Das letzte Album «GONG!» ist ein Musical über ein Musical über Smartphones, Quallen und darüber, wie die Zeit vergeht. Hier noch die harten Fakten: 7 Musiker:innen, 60 Minuten, eine Gasse, ein unvergleichliches Feuerwerk. Wir freuen uns sehr auf die Deutschschweizer Konzertpremiere der tatsächlich fabelhaften Musikgruppe Catastrophe.</t>
  </si>
  <si>
    <t>Pop Avantgarde</t>
  </si>
  <si>
    <t>Mit währschaften traditionellen Schweizer Volksmusikklängen wandern SULP durch malerische Häuserschluchten und jagen über wilde Strassenkreuzungen. Manchmal spielen sie eine Polka schottisch, Mozart à la Jost Ribary oder einen Schottisch auf albanisch. Lüpfige Rhythmen und standfeste Dreiklänge, lustige, sentimentale oder sperrige Melodien, gradlinige Tanzmusik und virtuose Verspieltheit mischen sie zu urbanen Klangbildern. Sie musizieren damit von der Kuhweide in den Feierabendstau – und wieder zurück zu Cheeseburger und Älplermagronen.
Mit: Simon Dettwiler, Matthias Gubler und Hannes Fankhauser</t>
  </si>
  <si>
    <t>Urban Ländler</t>
  </si>
  <si>
    <t xml:space="preserve">
«Werum immer Musig mache, wänn doch alles ander zellt?», fragen Plankton auf ihrem kommenden fünften Album. Die fünf Freunde, die irgendwann im letzten Jahrtausend mit dem gemeinsamen Musizieren angefangen haben, haben nach einer kreativen Pause gemerkt, dass es eben ohne Musikmachen doch nicht geht. Sie trafen sich wieder im Proberaum und feilten an neuen Songs. Wer meint, auf die Frage «Warum Musik?» gäbe es eine einfache Antwort, irrt. Deshalb spürt die Band weiter der Frage nach, die sie schon verfolgt, seit sie vor beinahe 25 Jahren erstmals vor Publikum stand: Wie soll man als Einzelner so ein Leben überhaupt gestalten, wenn links und rechts der Alltagswahnsinn tobt? Nach dem ausverkauften Konzert im Theater am Gleis sind Plankton endlich zurück auf der Musikfestwochen-Bühne.</t>
  </si>
  <si>
    <t>Mundart Pop</t>
  </si>
  <si>
    <t>Back To The Radio ist schon jetzt einer der stärksten Songs des Jahres. Und zugleich Vorbote des im Mai erscheinenden zweiten Albums von Porridge Radio, der jungen Band um Sängerin, Songwriterin und Leadgitarristin Dana Margolin. Bereits mit dem Erstling gab es die Nominierung für den renommierten Mercury Prize. Der Musikexpress kürte Born Confused zum Song des Jahres 2020. Nüme nüt, konstatieren wir da mal. Das aus der blühenden DIY-Szene Brightons stammende Quartett streift Dream Pop, Grunge, Psychedelic- avantgardistischer Indierock, mit teilweise kreischenden Gitarren und ordentlich Widerhall. Ein markantes Element ist die musikalische Übersetzung emotionaler Verun­sicherung in lange, ekstatische Wortreihen, ein anderes die grosse Lust an Übersteuerung. Wir fassen zusammen: Ein Fest aus Noise und postmodernen Mantras, bereit für den ganz grossen Sprung.</t>
  </si>
  <si>
    <t>Alternative Rock,Dream Pop</t>
  </si>
  <si>
    <t>Post Punk,Zeitgeist</t>
  </si>
  <si>
    <t>Irischer Sprechgesang trifft auf Punk und entfaltet ein Reich der Reime, Gedanken und Atmosphären. Eine Single erschien beim umtriebigen Label Speedy Wunderground, jetzt ist die Irin bei Chess Club Records unter Vertrag, deren Alumni-Liste mit Namen wie Mumford &amp; Sons, Jungle oder Mø glänzt. In einem etwas unwirtlichen Rahmen haben wir Sinead O’Brien zum ersten Mal erlebt: mitten am Tag, im Medienbereich des Eurosonic Festivals. Drei Songs später war aber klar, dass weder der Rahmen noch die schnatternde Meute den faszinierten ersten Eindruck trüben konnten. Die aus Limerick stammende Sinead O’Brien macht einfach vieles richtig: Attitüde, Dringlichkeit und Reduktion. Mit diesem Dreigestirn trifft sie mitten in den musikalischen Zeitgeist.
Ein einzigartiges Konzert in der Stadtkirche, das wir in Zusammenarbeit mit unseren Freund:innen vom Salzhaus Winterthur präsentieren.</t>
  </si>
  <si>
    <t>Griotmusik aus Gambia</t>
  </si>
  <si>
    <t>Im Sound der Band hat die namensgebende Kora, gespielt von Lamin Jobarteh, eine wichtige Bedeutung. Das Zupfinstrument ist der Begleiter der westafrikanischen Griots (weiblich Griottes), die singend Geschichten erzählen und Wissen an ihre Zuhörer weitergeben. Aus der Tradition hat sich ein Musikstil entwickelt, der von kleineren Gruppen bis mittleren Orchestern gepflegt wird. Auch King Kora ist eine solche Griot-Band mit multikultureller Besetzung.
Die Bandmitglieder, welche im Raum Zürich leben, begeistern das Publikum mit neuen und alten neu arrangierten Songs aus dem westafrikanischen Manding-Groove.
Mit:
Lamin Jobarteh / Gambia / Kora, Gesang
Omar-Djadji Seydi / Senegal / Schlagzeug
Juan Elias / Mexico / Bass
Riccardo Pellicano / Italien / Keyboard
Hinweis: In unserer Programmzeitung ist der Musikstil fälschlicherweise als «Afrikanisch» beschrieben. Das war ein Platzhalter, der leider vergessen ging. Wir entschuldigen uns.</t>
  </si>
  <si>
    <t>Wunderground Rock,Alternative</t>
  </si>
  <si>
    <t>Neues aus dem Wunderground. Black Midi, Squid oder eben Black Country, New Road: Sie alle sind Teil der pulsierenden Szene rund um Dan Careys umtriebiges Tonstudio und Label Speedy Wunderground in London. Und sie alle suchen das Experiment in der Rockmusik. Und vor allem in der Erweiterung ebendieser. Ein bisschen latenter Wahnsinn, stets unerwartet und dabei vor allem eines: wahnsinnig gut. Irgendwo im Kopf und in den Träumen des Septetts turnen Melodien, Rhythmen, Riffs und Ideen herum und lassen sich unmöglich subsumieren. Müssen sie auch nicht. Film-Noir-Streicher, Jazz-Eskapaden, wasserdichte Drums – fast möchte man meinen, da werden bekannte Songstrukturen in destruktiver Absicht auf ihre Essenz abgeschmirgelt. Wer wissen möchte, wie junge englische Bands im wackeligen sozialpolitischen Klima des Königreichs klingen, sollte hier genau hinhören. Ein wahrer, musikalisch hakenschlagender Triumphzug.</t>
  </si>
  <si>
    <t>Songwriterin</t>
  </si>
  <si>
    <t>2018 hat sich das Ostschweizer Duo Mischgewebe spontan gegründet und seither über 80 Konzerte gespielt. Mel D ist dabei mit ihrer eingängigen Stimme für den Gesangspart zuständig. Bei uns kommt sie allein vorbei, mit ihrer Gitarre im Gepäck. Mels klare Stimme klingt manchmal verträumt, manchmal zärtlich, manchmal voller Schmerz. Und trifft immer geradeaus ins Herz. Melancholie, Geschichten von einsamen Katersonntagen und von der unbändigen Hoffnung, das am Schluss doch alles passt. Wir fühlen uns dabei wie kleine Punkte, die umherschwirren – vielleicht wie die Regenbogenlichter, wenn das Sonnenlicht im Glas bricht. Augen schliessen, geniessen und Gänsehaut bekommen!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</si>
  <si>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Garage-Rock</t>
  </si>
  <si>
    <t>Vor Batbait sollte man sich in Acht nehmen. Das vierköpfige Kollektiv lockt seine tanzwillige Beute mit charmanten, rohen, unpolierten Punk- und Garage-Rock-Klängen auf die Tanzfläche und lauert dort mit «in Eckzahnblut getränkten Songs» auf. Das Jagdkonzept der vier Kunstvermittlungs-Absolventinnen hat sich bewährt: 2021 überzeugten Gianna Brühwiler, Simona Bisch, Sandra Keller und Alanah Rüttimann die m4music Demotape-Clinic-Jury mit ihrem energiegeladenen Gitarrensound sowie ihrer authentischen Ausstrahlung und gewannen sowohl in der Kategorie «Rock» als auch das «Demo of the Year». Für 2022 stehen zahlreiche Konzerte an und mit «Softness, Pt. I», ihrer jüngst erschienen EP, zelebrieren sie die kleinen Dinge im Leben und stellen sich den grossen Fragen. Eine wilde und live gnadenlos mitreissende Geschichte vom Neo-Indie-Label-Liebling Grundiynkommen.</t>
  </si>
  <si>
    <t>Im Vorfeld des Caniglio Connection Konzerts laden die Swingscouts zum Abheben in Richtung Cotton Club in Harlem ein. Mit treibenden Sounds der Juke Joints und Ballrooms. Damit das alles mit Schwung passiert, können die entsprechenden Tanzschritte beim Gratis-Lindy-Hop-Tanzkurs vor dem Konzert eingeübt werden. Tanzschuhe nicht vergessen!</t>
  </si>
  <si>
    <t>Tankkurs</t>
  </si>
  <si>
    <t>Blues Rock</t>
  </si>
  <si>
    <t>RED TAPE REDEMPTION liefren dusty bluesrock straight aus their souls.
Im September 2021 gab es den Release der mini-ep called DRIVING LIVE auf dem umtriebigen und geschmakssicherem Winterthurer Label THE YELLING LIGHT.</t>
  </si>
  <si>
    <t>Kammerpop, Wehmut, Lyrik, die direkt spiegelt, die weh tut. Musik, die zwischen den Welten tanzt. To Athena erlaubt introspektiven und zerbrechlichen Kleinoden auf Schweizerdeutsch, neben funkelndem und cineastischem Pop in englischer Sprache auf ein- und derselben Bühne zu bestehen. Die Grösse findet sich oft im Kleinen, in den Details. In den Texten, die die Hand ins Dunkle strecken, aber immer auch das Licht zulassen. Fragilität, Stärke und die Töne dazwischen.
Ab April darf man sich auf die ersten Vorboten ihres neuen Albums freuen. Live und in allen Farben gibt es das dann an den Musikfestwochen zu hören. Übrigens tritt die studierte Sängerin bei uns mit ihrem achtköpfigen Orchester auf.
Ein einzigartiges Konzert in der Stadtkirche, das wir in Zusammenarbeit mit unseren Freund:innen vom Salzhaus Winterthur präsentieren.</t>
  </si>
  <si>
    <t>Orchestral Pop</t>
  </si>
  <si>
    <t>Wenn Musik in den Stilen der 20er und 30er Jahre erklingt und pure Spielfreude das Tanzbein zum Zucken bringt, dann ist die Coniglio Connection am Werk: Das Swing-Sextett aus St. Gallen begeistert die Lindy-Hop-Szene mit ihren Live-Auftritten in der Schweiz und Österreich. So authentisch und spielfreudig bringt selten eine Band den Jazz des letzten Jahrhunderts auf die Bühne – eine unwiderstehliche Einladung zum Eintauchen in die goldenen Jahre. Und was bei Konzerten der Connection auf keinen Fall zu kurz kommt, ist ihre mitreissende Begeisterung für das, was sie da tun. Damit das alles mit Schwung passiert, können die entsprechenden Tanzschritte beim Gratis-Lindy-Hop-Tanzkurs vor dem Konzert eingeübt werden. Die Swingscouts laden traditionell zum Tanzen und Abheben in Richtung Cotton Club in Harlem ein. Mit treibenden Sounds der Juke Joints und Ballrooms. Tanzschuhe nicht vergessen!</t>
  </si>
  <si>
    <t>Swing</t>
  </si>
  <si>
    <t>Noise Rock, Alternative Fuzz</t>
  </si>
  <si>
    <t>«Album des Monats Mai 2021! Keine Widerworte!», ruft der Booker durch die geöffnete Bürotür. Seit 2019 auf unserer Watchlist. Zwei EPs, eine Handvoll Singles und über 70 Millionen Spotify Plays. Fuzzy Gitarrenwände, die rhythmisch durchaus eine Artverwandtheit zum Hip Hop aufblitzen lassen, krachen hier in bester Noise Rock Tradition aufeinander. Die frühen Muse, aber auch Nirvana-Anleihen meinen wir zu hören. Es rauscht auf jeden Fall gewaltig. Mit ihrem DIY-Kollektiv New Rock Mafia setzen sich Cleopatrick überdies Moralvorstellungen wie Inklusion und Geschlechterneutralität ein. Nachhaltige Werte, mit denen auch wir uns identifizieren. Sympathisch, aber vor allem wichtig.</t>
  </si>
  <si>
    <t>Spoken Word</t>
  </si>
  <si>
    <t>Frisch aus den Ferien zurück ist der Zürcher Kabarettist und Spokenword-Künstler Simon Chen wieder heiss für die Bühne! Er freut sich, den sommerlich Saisonauftakt an den Winterthurer Musikfestwochen im Theater Café Roulotte zu feiern. Voll erholt und braun gebrannt wird er humoristische Köstlichkeiten aus seinem Rucksack auspacken. Er wird mit Wörtern und Bedeutungen jonglieren, abstruse Geschichten erzählen und das Leben satirisch unter die Lupe nehmen. Erfrischende Wortkunst vom Feinsten, exklusiv für diesen Abend zusammengestellt.
Kurzbiografie:
Simon Chen, *1972 in Fribourg, ehemaliger Schauspieler, seit 2007 hauptberuflicher Slampoet, Spokenword-Autor, Moderator und freier Mitarbeiter von Radio SRF (Zytlupe). 2015 betrat er mit «Meine Rede!», die Kabarettbühne. 2018 folgte sein zweites Programm «Typisch!» und seit Juni 2021 ist er mit dem Stück «Ausserordentliche Lage» unterwegs. Lebt in Zürich.</t>
  </si>
  <si>
    <t>Ambient</t>
  </si>
  <si>
    <t>Eigentlich ausgebildet auf der klassischen Klarinette, ist Fabian Mösch aus der alternativen Musikszene nicht mehr wegzudenken, als Bandmitglied (Pamplona Grup), Festivalveranstalter (One Of A Million), Clubprogrammmacher (Palace St. Gallen) oder Bookingagent (Glad We Met). Nun beehrt er uns mit seinem Soloprojekt möf: Dabei hat er seine Klarinette und verschiedene Geräte, mit denen er diese verfremdet, verdröhnt und verzerrt. So lotet er die Möglichkeiten und Grenzen des Instruments aus und kreiert einzigartige, teils wummernde, teils erschlagende, teils feine Wände voller Schall. Aus den improvisierten Melodien entsteht eine sorgfältige Klangwelt, die sich ausdehnt und die Zuhörer:innen einnimmt.
Auf Radio 3fach hat Fabian mal gesagt, dass wenn er selbst Musik höre, er sich immer frage, was sie zu bedeuten habe, wieso sie gemacht wurde und was das «Mehr» daran sei. Dass es bei möf ein «Mehr» gibt, wissen wir. Wo es dieses Mal sein wird, hören wir schon bald.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</si>
  <si>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Kids, A-Capella-Beatbox-Sound</t>
  </si>
  <si>
    <t>Bummelkastens Musikvideos werden täglich tausendfach geklickt. Die Berliner Ein-Mann-Band hat sich mit ihrem komplett mundgemachten Debutalbum «Irgendwas Bestimmtes» genüsslich in die deutschen Kindermusikregale gefläzt und euphorisiert damit Kinder, Eltern und Nicht-Eltern. Ihre Songs entfalten einen Sog, dem man sich nur schwer entziehen kann. Kein Wunder: Dieser popfidele A-Capella-Beatbox-Sound – welcher mit seinen detailreichen Arrangements sowie seiner vokalen als auch musikalischen Verspieltheit herrlich ungeleckt und unterhaltsam daherkommt – sucht nicht nur in der Kindersparte seinesgleichen. Mit anspruchsvollen Texten und eigensinnigem Humor lehnt sich Bummelkasten weit aus der Schublade und ergründet damit künstlerisches Neuland.
«Kommt ihr bitte!?» – die oft benutzte, höflich geschönte Phrase vieler Erziehungsberechtigter – wird im gleichnamigen Song dermaßen penetrant vorgeführt und so oft von einem infantilen «Jaahaa» erwidert, dass es fast wehtut. In «Wandern», einem sündhaft lässigen Song übers – nunja – Wandern, verschmelzen die Themen Natur und Medienkonsum. Doch es sind vor allem Bummelkastens schräge Figuren, bei denen Kinder auf ihre Kosten kommen: Max, der rolltreppefahrende Klopapierdieb. Susi, die härteste aller Prinzessinnen, die gerne Ponywurst grillt und mit dem Monstertruck zum Bäcker fährt. Shiny, die Lichterfee, die sich einen Trip durchs Sonnensystem gönnt, aber von jedem bereisten Planeten ziemlich schnell die Schnauze voll hat. Bulli Battmann, ein fieser Schulhofschreck, der abends in sein Kissen weint oder Hausmeister Klaus, der smarteste Hausmeister ever.
Also nehmt eure klebrigen Finger vom Sofa, zieht die Stoppersocken aus und geht nochmal pullern: Der Bummelkasten ist in der Stadt!</t>
  </si>
  <si>
    <t>«Melancholisch, romantisch und vielleicht ein bisschen kritisch», so
beschreibt Anouchka Gwen ihre Musik. Im neuen Album «Utopia» beschäftigt
sie sich mit Akzeptanz, Repräsentation, Awareness und Gefühlen.
In neuer Formation unterwegs, bringt sie ihre Zuhörer:innen
mit ihrem träumerischen, bassigen Sound zum Wippen, Hüftschwingen
und zum Träumen. RnB mit einer Prise Pop und Neo-Soul. Mit Hammerstimme und Haltung sorgt die Basler Neo-Soulerin für Vorfreude im Festivalbüro.</t>
  </si>
  <si>
    <t>Surf Rock</t>
  </si>
  <si>
    <t>Jazz,Neo Sufi</t>
  </si>
  <si>
    <t>Hörbarer Schmerz, spürbarer Trost. Der kulturelle Reichtum Pakistans findet sich in Arooj Aftabs Kunst mehrfach: Sie verbindet Minimalismus und New Age mit neu interpretierter Sufi-Poesie, verwebt ihren reich verzierten Urdu Gesang mit traditioneller Instrumentation aus dem Mittleren Osten – das aktuelle Album «Vulture Prince» veröffentlicht sie mit einem parfümierten Körperöl, welches nach ihrer Heimat riecht. Aftabs Musik ist berührend und bewegend, meditativ entspannend. Die 36-jährige befindet sich am Vorabend einer Weltkarriere. Im April 2022 hat sie einen Grammy gewonnen  (Best Global Performance) und war als Best New Artist nominiert – übrigens die ersten Grammy-Nominierungen eines pakistanischstämmigen Acts. Ein einzigartiges Konzert in der Stadtkirche, das wir in Zusammenarbeit mit unseren Freund:innen vom Salzhaus Winterthur präsentieren.</t>
  </si>
  <si>
    <t xml:space="preserve">
Alles woner isch, ischer wäge sine Roots. Und zurück zu diesen findet Phenomden dieses Jahr. Sechs Jahre hat der Zürcher in Jamaica gelebt, sich inspirieren lassen und wichtige musikalische Erfahrungen gesammelt. Zurück in der Schweiz und mit seinem neuen Dialekt-Album «Streunendi Hünd» im Gepäck steht Phenomden zusammen mit den legendären The Scrucialists nach 17 Jahren wieder auf einer Musikfestwochen-Bühne. Es ist uns eine Ehre und eine riesige Freude
Mit Phenomden &amp; The Scrucialists werden wir zum ersten Mal ein Konzert in Gebärdensprache verdolmetschen. Denn nicht alle hören die Musik. Für Gehörlose macht ein:e Dolmetscher:in ein Konzert also erst greifbar. Dass es ausgerechnet bei dieser heiss ersehnten Show klappt, freut uns ganz besonders. Wir bedanken uns beim Verein MUX für die tolle Unterstützung und bei den Musiker:innen für die Bereitschaft, mitzumachen.
Zwei Tipps, um einen Platz mit guter Sicht auf die Dolmetscherin zu ergattern: Wenn du den Eingang beim Cupcake-Laden «Bonne Maman» nimmst, musst du dich nicht durch die ganze Menge drängeln, denn dieser liegt direkt neben der Bühne. Und trotzdem, dieses Konzert ist wie die meisten an den Winterthurer Musikfestwochen kostenlos und nicht das erste vom Abend. Sprich – die Gasse wird schnell voll sein. Komm also genug früh auf die Steibi, um nicht ganz hinten in Fernglas-Entfernung stehen zu müssen.</t>
  </si>
  <si>
    <t>Reggae</t>
  </si>
  <si>
    <t>Die WildWomen-Folk Band Mokoš nimmt dich mit auf eine Reise in tiefe Gewässer.
Sie erzählen Geschichten aus dem Leben – von traurigen Elefanten, alten weisen Frauen, Eifersucht, tanzenden Füchsinnen, weltherrschenden Katzen, liebenden Bären und vieles mehr …
Mokoš ist die Wunderwelt von Laura Scammacca, die mit ihrer unverwechselbaren Stimme Augen zum Austrocknen bringt weil man vor lauter Staunen das Blinzeln vergisst. Und von Mirjam Gosteli, die mit ihren Trommeln treibende Rhythmen in die Songs streut und mit dem Akkordeon süsse Datteln in die Luft wirft. Wenn der Westwind bläst und die Sterne günstig stehen, ist auch Anuschka Strässle mit dabei, die mit ihrer Kontrabassin «Marta» die Lieder zum Vibrieren bringt. Mit: Laura Scammacca, Mirjam Gosteli und Anuschka Strässle</t>
  </si>
  <si>
    <t>Folk</t>
  </si>
  <si>
    <t>Songwritering</t>
  </si>
  <si>
    <t>Nach ihrem ersten, selbstveröffentlichten Album Wendekid erschien Ende April ihr zweites Album mit dem schönen Titel Kommunistenlibido beim geschmackssicheren Label Staatsakt. Dabei ist ein lebendiges, ungeschliffenes Werk aus Zartheit und gnadenloser Offenheit entstanden. Man kann Katharina Kollmann darauf zuhören, wie sie fast Zen-buddhistisch ihre Bariton-Gitarren-Riffs anstimmt und sich immer wieder in Rage spielt, bis der Sturm sich leise legt. Dabei hat sie offenbar Tinte für eine ganze Bücherwand im Bauch. Die Kunst ihrer Songs liegt im Aufbau von Spannungsbögen: Gezielt eingesetzte Pausen wechseln mit überraschenden Chorgesängen und berstenden Distortion-Momenten und bringen immer wieder berührende Sentenzen und überraschende Wendungen hervor. Wir freuen uns sehr auf und über die erste und einzige Schweiz Show dieser herausragenden Künstlerin.</t>
  </si>
  <si>
    <t>Acoustic</t>
  </si>
  <si>
    <t>Kennen tut man die beiden Brüder Silvan und Samuel Kuntz von Panda Lux. Mit der Band haben sie vor bald 10 Jahren ihre erste Single herausgebracht. Seither haben sie eine Reise durch verschiedene Genres gemacht und unterdessen ihre ganz eigene Sprache gefunden, die sie jetzt mit Hoehn im Duo mit je einer Gitarre zeigen. Das überrascht nur auf den ersten Blick, denn Samuel hat Jazz- und Silvan Klassikgitarre studiert. Die beiden beherrschen ihr Handwerk und ergänzen die filigranen Gitarrenklänge nur selten durch Falsett-Gesang, ansonsten bleibt’s instrumental. So zaubern sie einen Kosmos, in den es uns hineinzieht. Einmal drin in dieser Parallelwelt, lässt die Musik uns schwerelos umherschweben, trägt uns ganz sanft davon, an einen Ort, wo sich alles ganz leicht anfühlt.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</si>
  <si>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Garage,Psychedelic Rock</t>
  </si>
  <si>
    <t xml:space="preserve">
Der Züritipp meinte: «spannender und ziemlich grossartiger Rock, der an Wolf Alice und Warpaint erinnert.» Wir meinen: endlich EMZYG. Die fünf Zürcherinnen spielen Musik, welche stets überrascht und nicht verortbar zwischen verträumtem Psychedelic Rock, Garage-Punk-Rhythmen und eigenwilligem Post-Punk oszilliert. Das ist Zeitgeist, das pulsiert, das entführt und macht Spass. Und wer ikonische Adressen wie die Zürcher Musiktempel Zukunft und Gonzo, unser geliebtes Gaswerk oder das Lauter Festival im Konzertrucksack hat, ist an den Musikfestwochen goldrichtig. Ganz zycher.</t>
  </si>
  <si>
    <t>Psych-Rock</t>
  </si>
  <si>
    <t>Die im Frühjahr 2021 gegründete Ostschweizer Rockband lernte sich im Umfeld einer grossen Wohngemeinschaft am St. Galler Stadtrand kennen. An den häufig veranstalteten Jam-Sessions fanden Musikerinnen und Musiker zusammen. Im Mondschein einer dieser Nächte wurde die Idee einer Psychedelic Rock Band geboren. Fünf Jungs kamen zusammen, um diese Idee in die Realität umzusetzen. Es folgte ein Sommer voller kleiner Festivals und Konzerte, die Pedalboards wuchsen und man feilte von nun an jede Woche an den Songs. Gegen Ende 2021 nahm Choose The Juice am bandXost teil und gewann den Event.  Dies ermöglicht der noch jungen Band eine EP zu produzieren, die voraussichtlich im Herbst 2022 erscheinen wird.</t>
  </si>
  <si>
    <t>Noise Rock</t>
  </si>
  <si>
    <t>Hallo Seattle, hallo Nineties, hallo Effektgerätewald, Kurt smells like Teen Spirit. Überfällig war die Einladung an unsere Lieblingsgrunger von Hathors. Rückblick: Die Winterthurer haben uns 2019 ziemlich den Allerwertesten gerettet, als sie nach der Absage von Madrugada direkt aus dem Proberaum zu uns auf die Bühne gestürmt sind. In der Zwischenzeit gab es die eine oder andere Personalrochade, u.a. ist ex-Lyvten-Musiker Thorsten Polomski jetzt der Mann am Bass. Wir durften bereits in die ersten drei Songs (produziert bei Blackmail-Gründer Kurt Ebelhäuser) des neuen Albums reinhören und sind fast vom Bürostuhl gefallen. So satt, so direkt, so wuchtig klangen die Hathors noch nie. Da geht eine Band unbeirrt ihren Weg. Wir sehr grosse Fans davon.</t>
  </si>
  <si>
    <t>Poetry Slam at it’s best, der Teamwettbewerb ist die heimliche Königsdisziplin im Wettkampf der Dichter.
Die Teams, welche noch vor kurzem in Bern um den Schweizermeister:innen Titel gekämpft haben treffen nochmals aufeinander und verwandeln das Roulotte in einen Hexenkessel.
Mit:
Moderation Joël Perrin
Musik DJ5PM
Jeremias Gotthelf (Jeremy Chavez und Mia Ackermann)
Unfrottierte Frottetücher (Gina Walter und Sven Hirsbrunner)
Terracotta Forellenquintett (Peter Heiniger und Remo Zumstein)
Pink im Park (Stefan und Pierre Lippuner)
© Spoken World Biel</t>
  </si>
  <si>
    <t>Poetry Slam</t>
  </si>
  <si>
    <t>Krautrock,Anatolischer Sufi Rock</t>
  </si>
  <si>
    <t>Was, wenn die Krautrock-Ära nie ein Ende gefunden hätte? Wenn all die ungestüme Experimentierwut im Herzen Europas in den frühen Siebzigern nicht durch den transatlantischen Pop-Moloch der Major Labels verschluckt worden wäre? Wenn die Hippies gewonnen hätten? Wir werden es nie erfahren. Sei’s drum, zum Glück gibt es ja Takeshi’s Cashew. Die räumen auf und spielen spirituellen P-Funk, überzogen mit dem Sound des anatolischen Sufi-Rocks der 70er-Jahre. Bestehend aus einem Sammelsurium von Musikern mit unterschiedlichen Hintergründen und Band-Zugehörigkeiten in der Wiener Szene, ist die Band stark den klassischen türkischen Acts der 70er-Jahre verpflichtet. Auf ihrem 2021er Album hagelt es aber auch aktuelle musikalische Querverweise, die in Richtung Khruangbin und Altin Gün zielen. Über all dem thront und ist stets im Fokus: die Lust am Experimentieren.</t>
  </si>
  <si>
    <t>Hardrock</t>
  </si>
  <si>
    <t>Alles verschwindet irgendwann. Kneipen, Wälder, Stil und Anstand. Nur Gloria Volt bleibt. Und Zeitungen. Zeitungen bleiben auch. Damit wir darin lesen können, wie viel besser es früher angeblich gewesen sein soll. Wie schön die Welt war, als Mammuts noch unter uns weilten und fröhlich über die Steinberggasse streiften. Aber wir schweifen ab. Fakt ist: Alles wird gut. Weil Gloria Volt immer hier war und bleibt. Mit Pauken und Gitarren heizen sie in gewohnter Manier ein und knallen eine gepfefferte Prise Hardrock auf den Tisch. 100 Jahre Gloria Volt! Die Mammuts des Hardrock spielen neue Songs und alte Gassenhauer und lassen die Tassen hochheben und ehrliche Musik hochleben. Das wird ein Spass, versprochen. Denn Hardrock stirbt nie, wie die Zeitungen eben.</t>
  </si>
  <si>
    <t>Swamp Blues</t>
  </si>
  <si>
    <t>Was für eine Reise, was für ein Trip. Heute schiessen sie wie Pilze aus dem Boden, damals war es eine Seltenheit. Ein Duo! Gitarre und Schlagzeug. Die kleinste Band der Welt. Weniger narzisstisch als ein Solokünstler, intimer als eine blosse «Band». Ein subtiles Ying und Yang, eine ganz besondere Chemie. Los Dos. Die perfekte Mischung für den knochentrockenen Trash- Rock und den röchelnden Swamp-Blues von Hansueli Tischhauser und Andreas Wettstein.
Die beiden Musiker orientieren sich am Blues des Mississippi Deltas.
Der Delta-Blues wird in die Gegenwart übersetzt. Ihr Swamp-Boogie-Setup rockt, rollt und röhrt. Mal fein, elegant und swingend, dann wieder laut, powervoll bis hin zu psychedelischen Ausschweifungen und zurück zu skurril- trashig-rockigem Boogie.
Ihr Bandsound – einzigartig – Ihre Liveshow – übergross!
Mit:
Han Sue Lee Tischhauser voc/git
Ann Dee Wettstein voc/perc</t>
  </si>
  <si>
    <t>Folk,Psychedelic</t>
  </si>
  <si>
    <t>Amazing Grace! Grace Cummings begeistert uns mit Folk-Songs und einer unvergleichlichen Stimme voller lebenswunder Inbrunst. Man kommt bei der Beschreibung der Australierin nicht um diese vom Leben geprägte, gegerbte und geriffelte Stimme herum, die Kraft ihres irren Volumens und ihrer Expressivität in der Lage zu sein scheint, ganze Meere zu teilen. Dass sie im August neben Auftritten bei den geschmackssicheren Festivals Haldern Pop, End of the Road und Pop-Kultur Festival Berlin spielt, sondern noch zusammen mit den Aussie-Psych-Fuzzern von King Gizzard &amp; The Lizard Wizards unterwegs ist, setzt noch mal einen Ausrufezeichen hinter die Vielseitigkeit ihres musikalischen Outputs. Prädikat: Highlight!
Ursprünglich war Natalie Bergman für das erste Konzert vom heutigen Freitagabend vorgesehen. Leider musste sie ihren Auftritt bei uns wegen Reisebeschränkungen absagen.</t>
  </si>
  <si>
    <t xml:space="preserve">Folk </t>
  </si>
  <si>
    <t>Eine Stimme, eine Gitarre. Viel mehr war da nicht, als wir Kristian Matsson aka The Tallest Man on Earth 2010 beim Haldern Pop Festival gesehen haben. Seitdem ist es die immer gleiche Geschichte: Jahrein, jahraus haben wir beim Schweden angeklopft. Mal hiess es, er würde den Sommer über lieber fischen gehen, andere Jahre war er in den USA, in Norwegen oder sonst irgendwo. Zehn Jahre haben wir es versucht. Und es hat sich gelohnt – The Tallest Man On Earth kommt endlich zu uns! Wir freuen uns auf ein introvertiertes Folk-Spektakel der Extraklasse. Die NZZ verglich ihn mit Bob Dylan und adelte ihn mit zwei simplen Worten: «Hören, staunen». Es geht ums Zuhören und darum, sich auf Matssons Welt einzulassen. Wer das tut, wird sich hoffentlich noch in zehn Jahren mit einem Lächeln an einen Freitagabend an den Winterthurer Musikfestwochen erinnern. Wie wir das seit 2010 tun. Välkommen, Kristian!</t>
  </si>
  <si>
    <t>Indie Folk</t>
  </si>
  <si>
    <t>Es gibt Dinge, die so gut sind, dass sie keiner Änderung bedürfen. Die Alben der Könige der Bequemlichkeit sind solche Dinge. Immer ähnlich aufgebaut, immer in vollkommener Perfektion. Erlend Øye, der auch solo und als Kopf der Band Whitest Boy Alive musikalische Ausrufezeichen setzt, und Eirik Glambek Bøe benutzen selten mehr als zwei Akustikgitarren und ihre beiden Stimmen im Harmoniegesang. Akkordfolgen, Zupfmuster und aufs erste Ohr minimalistisch klingende Produktion sind Stilmittel, aber vor allem auch der Anker ihrer musikalischen Reise. Das Album «Riot on an Empty Street» ist ein Inbegriff des stillen Rückzugs; ein Klassiker, der den Musikstil des norwegischen Bossa Nova definiert. Mit «Peace Or Love», ihrem ersten Album seit zwölf Jahren, erzählen die Kings of Convenience diese Geschichte weiter. Wir lauschen entzückt und sind vielleicht sogar ein bisschen sehr verliebt. Ach ja: Das ist die einzige CH-Festivalshow der Norweger in diesem Jahr. Wollten wir noch kurz erwähnen.</t>
  </si>
  <si>
    <t>Zirkus</t>
  </si>
  <si>
    <t>Ein Zirkus ohne Sägespäne, Tiere, Artisten, gar ohne Zelt? Zwei Figuren versuchen Glanz und Magie ihres Traums zum Leben zu erwecken. Die beiden brauchen keine Manege; nur einige wenige Requisiten und viel Enthusiasmus reichen ihnen, um das Publikum mit ihrer Nostalgie anzustecken und ein Stück Zirkus auf die Bühne zu zaubern. So entführen sie die Zuschauer in eine unterhaltsame Welt, wo sie mit Musik, Jonglage und weiteren Überraschungen die Faszination des Zirkus und die Poesie des Clowns entdecken.</t>
  </si>
  <si>
    <t>Ska Punk</t>
  </si>
  <si>
    <t>Zum 25-jährigen Bandjubiläum spielen die Ska-Punk-Legenden Rantanplan aus St. Pauli erstmals an den Musikfestwochen. Aber Obacht: Bitte immer noch nicht füttern – weil immer noch bissig! Auch auf ihrem zehnten Studioalbum «Stay Rudel – Stay Rebel» besinnen sich Rantanplan auf das Wesentliche. In ihrem Fall, um beim tierischen Jargon zu bleiben: das Rudel. Hier wird gerannt, gebellt, gebissen, gefressen und geschmust. Das muss Liebe sein – und so soll es auch klingen. Der Sound aus dem Hamburger Rotlicht hilft beharrlich mit, den Rock’n’Roll über die aalglatten Copy-Paste-Produktions-Zeiten zu retten. Live aufgenommen und ehrlich von der Seele gebrüllt. Kein Gedöns, nur Gitarre, Bass, Schlagzeug, Gesang, Trompete, Posaune, hier und da etwas Orgel, fertig. Ach, und manchmal ein Lichtschwert. So muss das.</t>
  </si>
  <si>
    <t>Turbo Polka</t>
  </si>
  <si>
    <t>Seit über 15 Jahren sind Russkaja unterwegs auf dieser Welt und verbreiten Turbo-Polka für die Gesundheit. Die irrwitzige Mischung aus Polka, Ska, Ost-Folklore und Rock hat genauso wie ihre selbst kreierte und zelebrierte «Kollektivgefühlbewusstseinserweiterung!» mittlerweile Legendenstatus. Die Band um den charismatischen Frontmann Georgij Makazaria ist das typische Beispiel dafür, wie man sich kontinuierlich weiterentwickeln und von kleinen Clubs auf die grössten Bühnen hochspielen kann. Knapp 1000 Auftritte weltweit haben Russkaja inzwischen absolviert – das perfekte Werkzeug zur Völkerverständigung liefern die Söhne Wiens gleich mit. Easy Listening kann einpacken, denn das hier ist der schweisstreibende und verrückte Soundtrack für eine bessere Welt!</t>
  </si>
  <si>
    <t>Theater, Poesie &amp; Politik</t>
  </si>
  <si>
    <t>schön&amp;gut spielt
ALLER TAGE ABEND
poetisches und politisches Kabarett
Gemeindepräsident Kellenberger ist am Rotieren. Auf der Schönmatt, hoch über Grosshöchstetten, liegt heute die Zukunft in der Luft: Drei wuchtige Windräder. Das Volk hat er mit Würsten und Aktien so gut wie im Sack, wäre da nicht eine ominöse Aktivistin, die drauf und dran ist, ihm den Wind aus den Rädern zu nehmen. Die Segel hingegen setzt Matrosentochter Katharina Gut, während Metzgerssohn Georg Schön seit Neustem auf Tofu steht. Kurz und gut: Grosshöchstetten dreht ganz schön am Rad. Doch das wird jäh gebremst, aus heiterem Himmel, und plötzlich steht die Zukunft in den Sternen. Und vielleicht muss nicht nur das Rad neu erfunden werden… Der sechste Streich von schön&amp;gut bringt einmal mehr Wortwitz, Gesang, geistreiche Satire und grenzenlose Fantasie.
Mit: Anna-Katharina Rickert und Ralf Schlatter
Regie: Roland Suter</t>
  </si>
  <si>
    <t>Spaniens politisches Gewissen ist zurück. Wobei «zurück» gar nicht so wirklich stimmt. Es ist nämlich die Musikfestwochen-Premiere der Punkrock-Legenden um Gitarrist und Sänger Pulpul. Gegründet 1994, aufgelöst 2005, wiedervereint 2008. Und im Februar 2022, vier Jahre nach ihrem bislang letzten Album, gab es dann endlich wieder neue Musik von den Iberern. Die Live-Qualitäten von Europas einflussreichster Ska-Punk-Band sind unerreicht: Moshpits à gogo, Tanzwut und Fäuste in die Luft! Ein essenzieller Bestandteil ihrer musikalischen Identität ist klar die Herkunft von Ska-P. Die Band aus Vallecas – einem Arbeiterviertel in Madrid, bekannt für seinen Widerstand während Francos Diktatur – positioniert sich seit jeher als Stimme für Gleichheit und Freiheit. Eine Stimme, die in der aktuellen Zeit lauter als je zuvor sein muss.</t>
  </si>
  <si>
    <t>Kindertheater,Familientheater</t>
  </si>
  <si>
    <t>Ein Theater rund um den Zirkus für alle ab 4 Jahren
Milly und Silvie, zwei Frauen im besten Alter, verwirklichen ihren Kindertraum und gründen einen Zirkus. Sie haben zwar weder Zelt noch Manege, dafür haufenweise Haushaltartikel, Putzutensilien, Kartonschachteln, Klebebänder, einen alten Kassettenrekorder und eine gehörige Portion Optimismus.
Nach nur zwei Proben präsentiert das Duo ein witziges, charmant-ungehobeltes und doch verblüffendes Programm. Hochverehrtes Publikum, heute ist Premiere!
Bestaunen Sie die stärksten Frauen der Welt und die einmalige Schneckendressur!
Wird Silvanella der Tanz auf dem hohen Seil gelingen? Oder braucht sie Milly’s magische Kräfte?
Ein Theatervergnügen voller Phantasie, eine Geschichte um Angst, Mut und grosse Träume.
Von und Mit:
Alma Jongerius und Marie-Anne Hafner</t>
  </si>
  <si>
    <t>Indie Rock</t>
  </si>
  <si>
    <t>Wow. Da waren wir dann also schon bisschen aus dem MFW-Bürohäuschen, als diese Bestätigung ins Postfach flatterte. Noch bevor im April ihr Debutalbum erscheint, ist ein unfassbarer Hype um das Duo von der Isle of Wight ausgebrochen. Der Hype hat einen veritablen Grund: Chaise Longue, in Grossbritannien schon im Sommer 2021 sowas wie der heimliche Festivalzeltplatz-Hit. Wet Leg, live als Quintett unterwegs, begeistern mit ihrem Indie-Gemisch zwischen motorischem Beat, Punk-Bassline, Björkscher und Gainsbourgscher Pop-Weirdness, Disco und melodischen Gitarren. Dazu kommen nonchalante Spoken-Word-Vocals, die aktuellen Post-Punk referenzieren – kombiniert mit eingängigen Hooks und einer guten Portion augenzwinkerndem Humor. Alles in allem ist das einfach verdammt satter und gut gemachter Indie-Rock, der der Anfang von etwas wirklich Grossem sein könnte. Liebeserklärung Ende.</t>
  </si>
  <si>
    <t>Post Punk,Big Rock</t>
  </si>
  <si>
    <t>Famos wie das kreischt, kracht und rumpelt. Immer schön die Klaviatur hoch und runter, möglichst asynchron und immer wieder aus der Komfortzone wachgerüttelt. Prog-Post-Punk à la bonheur – das ist das, was Black Midi musikalisch erschaffen. Als Anspieltipp, der die gesamte geniale Bandbreite der Band umfasst, sei John L empfohlen, das erste Stück ihres aktuellen Zweitlings. Das Komplexe erscheint hier federleicht, kaum greifbare Elemente fliessen ineinander und ergeben dabei nicht nur ein Konstrukt aus Tönen und Klängen, sondern eben einen Song. So funktioniert die Musik der drei Londoner. Das Resultat ist ein Hörgenuss, der lange nachhallt.</t>
  </si>
  <si>
    <t xml:space="preserve">Post Punk </t>
  </si>
  <si>
    <t>«About time» – so lautete die Reaktion von Fontaines D.C., als die Iren Anfang März den Best Band In The World Award des NME gewannen. Irischer Post-Punk der sich gewaschen hat und keinen Blick in den Rückspiegel wirft. Das Quintett aus Dublin hat keinen Bock auf Einklang im Gleichschritt. Die Alben werden immer besser, die Konzerthallen grösser, die einzige Konstante ist die stete, bewusste stilistische Veränderung. Frontmann Grian Chatten relativiert da auch gar nicht gross: «This is us as people. If people can’t accept it or don’t like it, then their band is gone.» Mit ihrem neuen Album «Skinty Fia» (VÖ: 22. April) spielen sie ihr einziges Deutschschweizer Konzert an den Musikfestwochen. Und Obacht, der Begriff «spielen» ist vermutlich untertrieben. Wir sprechen nämlich aus Erfahrung, wenn wir sagen: Diese Band ist eine Live-Wucht!</t>
  </si>
  <si>
    <t>Musik Comedy</t>
  </si>
  <si>
    <t>Jetzt stehen sie da die zwei Strassenmusiker, aber nicht in der Einkaufspassage des
Ortes sondern auf der Bühne. Resli und Pascal sind von der Kulturveranstalterin spontan ins lokale Kleintheater mit zahlendem Publikum eingeladen worden und sollen nun 90 Minuten lang ihre grössten Hits darbieten. Das ist für die beiden Vagabunden alles andere als einfach, denn ihr normales Strassen-Programm dauert bloss 25 Minuten.
Diese ungewohnte Situation zwingt die beiden zu hochstaplerischen Ausschweifungen. Sie schwadronieren über ihr abenteuerliches Strassenmusikerleben, geben haarsträubende Geschichten zum Besten, komponieren ad hoc, graben uralte Songs aus ihrem Repertoire aus und spielen sich um Hemd und Kragen.
VAGABUND ist Unterhaltung erster Güte: witzig, launig und hochmusikalisch.
Mit: Pascal Dussex &amp; Resli Burri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</si>
</sst>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8">
    <xf numFmtId="0" fontId="0" fillId="0" borderId="0" xfId="0"/>
    <xf numFmtId="1" fontId="0" fillId="0" borderId="0" xfId="0" applyNumberFormat="1"/>
    <xf numFmtId="1" fontId="0" fillId="0" borderId="0" xfId="0" applyNumberFormat="1" applyAlignment="1">
      <alignment horizontal="left"/>
    </xf>
    <xf numFmtId="0" fontId="1" fillId="0" borderId="0" xfId="1"/>
    <xf numFmtId="49" fontId="0" fillId="0" borderId="0" xfId="0" applyNumberFormat="1"/>
    <xf numFmtId="14" fontId="0" fillId="0" borderId="0" xfId="0" applyNumberFormat="1"/>
    <xf numFmtId="22" fontId="0" fillId="0" borderId="0" xfId="0" applyNumberFormat="1"/>
    <xf numFmtId="49" fontId="1" fillId="0" borderId="0" xfId="1" applyNumberFormat="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musikfestwochen.ch/acts/les-trois-suisses-ch/" TargetMode="External"/><Relationship Id="rId2" Type="http://schemas.openxmlformats.org/officeDocument/2006/relationships/hyperlink" Target="https://musikfestwochen.ch/acts/king-kora-ch/" TargetMode="External"/><Relationship Id="rId1" Type="http://schemas.openxmlformats.org/officeDocument/2006/relationships/hyperlink" Target="https://musikfestwochen.ch/acts/andrina-bollinger-ch/" TargetMode="External"/><Relationship Id="rId5" Type="http://schemas.openxmlformats.org/officeDocument/2006/relationships/printerSettings" Target="../printerSettings/printerSettings1.bin"/><Relationship Id="rId4" Type="http://schemas.openxmlformats.org/officeDocument/2006/relationships/hyperlink" Target="https://musikfestwochen.ch/acts/agent-flipper-ch/"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https://musikfestwochen.ch/acts/edwin-rosen-d/" TargetMode="External"/><Relationship Id="rId21" Type="http://schemas.openxmlformats.org/officeDocument/2006/relationships/hyperlink" Target="https://musikfestwochen.ch/acts/fraeulein-luise-ch/" TargetMode="External"/><Relationship Id="rId42" Type="http://schemas.openxmlformats.org/officeDocument/2006/relationships/hyperlink" Target="https://musikfestwochen.ch/acts/mel-d-ch/" TargetMode="External"/><Relationship Id="rId47" Type="http://schemas.openxmlformats.org/officeDocument/2006/relationships/hyperlink" Target="https://musikfestwochen.ch/acts/coniglio-connection-ch/" TargetMode="External"/><Relationship Id="rId63" Type="http://schemas.openxmlformats.org/officeDocument/2006/relationships/hyperlink" Target="https://musikfestwochen.ch/acts/takeshis-cashew-at/" TargetMode="External"/><Relationship Id="rId68" Type="http://schemas.openxmlformats.org/officeDocument/2006/relationships/hyperlink" Target="https://musikfestwochen.ch/acts/kings-of-convenience-nor/" TargetMode="External"/><Relationship Id="rId16" Type="http://schemas.openxmlformats.org/officeDocument/2006/relationships/hyperlink" Target="https://musikfestwochen.ch/acts/ginger-and-the-alchemists-ch/" TargetMode="External"/><Relationship Id="rId11" Type="http://schemas.openxmlformats.org/officeDocument/2006/relationships/hyperlink" Target="https://musikfestwochen.ch/acts/french-fries-ch/" TargetMode="External"/><Relationship Id="rId24" Type="http://schemas.openxmlformats.org/officeDocument/2006/relationships/hyperlink" Target="https://musikfestwochen.ch/acts/wu-lu-uk/" TargetMode="External"/><Relationship Id="rId32" Type="http://schemas.openxmlformats.org/officeDocument/2006/relationships/hyperlink" Target="https://musikfestwochen.ch/acts/lily-claire-ch/" TargetMode="External"/><Relationship Id="rId37" Type="http://schemas.openxmlformats.org/officeDocument/2006/relationships/hyperlink" Target="https://musikfestwochen.ch/acts/porridge-radio-uk/" TargetMode="External"/><Relationship Id="rId40" Type="http://schemas.openxmlformats.org/officeDocument/2006/relationships/hyperlink" Target="https://musikfestwochen.ch/acts/anais-mitchell-us/" TargetMode="External"/><Relationship Id="rId45" Type="http://schemas.openxmlformats.org/officeDocument/2006/relationships/hyperlink" Target="https://musikfestwochen.ch/acts/red-tape-redemption-ch/" TargetMode="External"/><Relationship Id="rId53" Type="http://schemas.openxmlformats.org/officeDocument/2006/relationships/hyperlink" Target="https://musikfestwochen.ch/acts/agent-flipper-ch/" TargetMode="External"/><Relationship Id="rId58" Type="http://schemas.openxmlformats.org/officeDocument/2006/relationships/hyperlink" Target="https://musikfestwochen.ch/acts/hoehn-ch/" TargetMode="External"/><Relationship Id="rId66" Type="http://schemas.openxmlformats.org/officeDocument/2006/relationships/hyperlink" Target="https://musikfestwochen.ch/acts/grace-cummings-aus/" TargetMode="External"/><Relationship Id="rId74" Type="http://schemas.openxmlformats.org/officeDocument/2006/relationships/hyperlink" Target="https://musikfestwochen.ch/acts/silvanellas-seiltanz/" TargetMode="External"/><Relationship Id="rId5" Type="http://schemas.openxmlformats.org/officeDocument/2006/relationships/hyperlink" Target="https://musikfestwochen.ch/acts/hatepop-ch/" TargetMode="External"/><Relationship Id="rId61" Type="http://schemas.openxmlformats.org/officeDocument/2006/relationships/hyperlink" Target="https://musikfestwochen.ch/acts/hathors-ch/" TargetMode="External"/><Relationship Id="rId19" Type="http://schemas.openxmlformats.org/officeDocument/2006/relationships/hyperlink" Target="https://musikfestwochen.ch/acts/barrio-colette-ch/" TargetMode="External"/><Relationship Id="rId14" Type="http://schemas.openxmlformats.org/officeDocument/2006/relationships/hyperlink" Target="https://musikfestwochen.ch/acts/malmzeit-ch/" TargetMode="External"/><Relationship Id="rId22" Type="http://schemas.openxmlformats.org/officeDocument/2006/relationships/hyperlink" Target="https://musikfestwochen.ch/acts/asendorf-ch/" TargetMode="External"/><Relationship Id="rId27" Type="http://schemas.openxmlformats.org/officeDocument/2006/relationships/hyperlink" Target="https://musikfestwochen.ch/acts/psycho-weazel-live-ch/" TargetMode="External"/><Relationship Id="rId30" Type="http://schemas.openxmlformats.org/officeDocument/2006/relationships/hyperlink" Target="https://musikfestwochen.ch/acts/palma-ada-ch/" TargetMode="External"/><Relationship Id="rId35" Type="http://schemas.openxmlformats.org/officeDocument/2006/relationships/hyperlink" Target="https://musikfestwochen.ch/acts/plankton-ch/" TargetMode="External"/><Relationship Id="rId43" Type="http://schemas.openxmlformats.org/officeDocument/2006/relationships/hyperlink" Target="https://musikfestwochen.ch/acts/batbait-ch/" TargetMode="External"/><Relationship Id="rId48" Type="http://schemas.openxmlformats.org/officeDocument/2006/relationships/hyperlink" Target="https://musikfestwochen.ch/acts/cleopatrick-can/" TargetMode="External"/><Relationship Id="rId56" Type="http://schemas.openxmlformats.org/officeDocument/2006/relationships/hyperlink" Target="https://musikfestwochen.ch/acts/mokos-ch/" TargetMode="External"/><Relationship Id="rId64" Type="http://schemas.openxmlformats.org/officeDocument/2006/relationships/hyperlink" Target="https://musikfestwochen.ch/acts/gloria-volt-ch/" TargetMode="External"/><Relationship Id="rId69" Type="http://schemas.openxmlformats.org/officeDocument/2006/relationships/hyperlink" Target="https://musikfestwochen.ch/acts/very-little-circus/" TargetMode="External"/><Relationship Id="rId77" Type="http://schemas.openxmlformats.org/officeDocument/2006/relationships/hyperlink" Target="https://musikfestwochen.ch/acts/fontaines-d-c-irl/" TargetMode="External"/><Relationship Id="rId8" Type="http://schemas.openxmlformats.org/officeDocument/2006/relationships/hyperlink" Target="https://musikfestwochen.ch/acts/liraz-isr/" TargetMode="External"/><Relationship Id="rId51" Type="http://schemas.openxmlformats.org/officeDocument/2006/relationships/hyperlink" Target="https://musikfestwochen.ch/acts/bummelkasten-d/" TargetMode="External"/><Relationship Id="rId72" Type="http://schemas.openxmlformats.org/officeDocument/2006/relationships/hyperlink" Target="https://musikfestwochen.ch/acts/schoen-gut-ch/" TargetMode="External"/><Relationship Id="rId3" Type="http://schemas.openxmlformats.org/officeDocument/2006/relationships/hyperlink" Target="https://musikfestwochen.ch/acts/jeremias-d/" TargetMode="External"/><Relationship Id="rId12" Type="http://schemas.openxmlformats.org/officeDocument/2006/relationships/hyperlink" Target="https://musikfestwochen.ch/acts/wackelkontakt-ch/" TargetMode="External"/><Relationship Id="rId17" Type="http://schemas.openxmlformats.org/officeDocument/2006/relationships/hyperlink" Target="https://musikfestwochen.ch/acts/pedro-feat-the-legacy-ch/" TargetMode="External"/><Relationship Id="rId25" Type="http://schemas.openxmlformats.org/officeDocument/2006/relationships/hyperlink" Target="https://musikfestwochen.ch/acts/andrina-bollinger-ch/" TargetMode="External"/><Relationship Id="rId33" Type="http://schemas.openxmlformats.org/officeDocument/2006/relationships/hyperlink" Target="https://musikfestwochen.ch/acts/catastrophe-fr/" TargetMode="External"/><Relationship Id="rId38" Type="http://schemas.openxmlformats.org/officeDocument/2006/relationships/hyperlink" Target="https://musikfestwochen.ch/acts/sinead-obrien-irl/" TargetMode="External"/><Relationship Id="rId46" Type="http://schemas.openxmlformats.org/officeDocument/2006/relationships/hyperlink" Target="https://musikfestwochen.ch/acts/to-athena-ch/" TargetMode="External"/><Relationship Id="rId59" Type="http://schemas.openxmlformats.org/officeDocument/2006/relationships/hyperlink" Target="https://musikfestwochen.ch/acts/emzyg-ch/" TargetMode="External"/><Relationship Id="rId67" Type="http://schemas.openxmlformats.org/officeDocument/2006/relationships/hyperlink" Target="https://musikfestwochen.ch/acts/the-tallest-man-on-earth-swe/" TargetMode="External"/><Relationship Id="rId20" Type="http://schemas.openxmlformats.org/officeDocument/2006/relationships/hyperlink" Target="https://musikfestwochen.ch/acts/connie-constance-uk/" TargetMode="External"/><Relationship Id="rId41" Type="http://schemas.openxmlformats.org/officeDocument/2006/relationships/hyperlink" Target="https://musikfestwochen.ch/acts/black-country-new-road-uk/" TargetMode="External"/><Relationship Id="rId54" Type="http://schemas.openxmlformats.org/officeDocument/2006/relationships/hyperlink" Target="https://musikfestwochen.ch/acts/arooj-aftab-pak/" TargetMode="External"/><Relationship Id="rId62" Type="http://schemas.openxmlformats.org/officeDocument/2006/relationships/hyperlink" Target="https://musikfestwochen.ch/acts/poetry-slam-abend/" TargetMode="External"/><Relationship Id="rId70" Type="http://schemas.openxmlformats.org/officeDocument/2006/relationships/hyperlink" Target="https://musikfestwochen.ch/acts/rantanplan-d/" TargetMode="External"/><Relationship Id="rId75" Type="http://schemas.openxmlformats.org/officeDocument/2006/relationships/hyperlink" Target="https://musikfestwochen.ch/acts/wet-leg-uk/" TargetMode="External"/><Relationship Id="rId1" Type="http://schemas.openxmlformats.org/officeDocument/2006/relationships/hyperlink" Target="https://musikfestwochen.ch/acts/katy-j-pearson-uk/" TargetMode="External"/><Relationship Id="rId6" Type="http://schemas.openxmlformats.org/officeDocument/2006/relationships/hyperlink" Target="https://musikfestwochen.ch/acts/projekt-et-ch/" TargetMode="External"/><Relationship Id="rId15" Type="http://schemas.openxmlformats.org/officeDocument/2006/relationships/hyperlink" Target="https://musikfestwochen.ch/acts/kalabrese-rumpelorchester-ch/" TargetMode="External"/><Relationship Id="rId23" Type="http://schemas.openxmlformats.org/officeDocument/2006/relationships/hyperlink" Target="https://musikfestwochen.ch/acts/lueme-ch-fra/" TargetMode="External"/><Relationship Id="rId28" Type="http://schemas.openxmlformats.org/officeDocument/2006/relationships/hyperlink" Target="https://musikfestwochen.ch/acts/horaband-ch/" TargetMode="External"/><Relationship Id="rId36" Type="http://schemas.openxmlformats.org/officeDocument/2006/relationships/hyperlink" Target="https://musikfestwochen.ch/acts/minyo-crusaders-jp/" TargetMode="External"/><Relationship Id="rId49" Type="http://schemas.openxmlformats.org/officeDocument/2006/relationships/hyperlink" Target="https://musikfestwochen.ch/acts/simon-chen-ch/" TargetMode="External"/><Relationship Id="rId57" Type="http://schemas.openxmlformats.org/officeDocument/2006/relationships/hyperlink" Target="https://musikfestwochen.ch/acts/nichtseattle-d/" TargetMode="External"/><Relationship Id="rId10" Type="http://schemas.openxmlformats.org/officeDocument/2006/relationships/hyperlink" Target="https://musikfestwochen.ch/acts/sira-eigenmann-ch/" TargetMode="External"/><Relationship Id="rId31" Type="http://schemas.openxmlformats.org/officeDocument/2006/relationships/hyperlink" Target="https://musikfestwochen.ch/acts/cmat-irl/" TargetMode="External"/><Relationship Id="rId44" Type="http://schemas.openxmlformats.org/officeDocument/2006/relationships/hyperlink" Target="https://musikfestwochen.ch/acts/swingscouts-crash-tanzkurs/" TargetMode="External"/><Relationship Id="rId52" Type="http://schemas.openxmlformats.org/officeDocument/2006/relationships/hyperlink" Target="https://musikfestwochen.ch/acts/anouchka-gwen-ch/" TargetMode="External"/><Relationship Id="rId60" Type="http://schemas.openxmlformats.org/officeDocument/2006/relationships/hyperlink" Target="https://musikfestwochen.ch/acts/choose-the-juice-ch/" TargetMode="External"/><Relationship Id="rId65" Type="http://schemas.openxmlformats.org/officeDocument/2006/relationships/hyperlink" Target="https://musikfestwochen.ch/acts/los-dos-ch/" TargetMode="External"/><Relationship Id="rId73" Type="http://schemas.openxmlformats.org/officeDocument/2006/relationships/hyperlink" Target="https://musikfestwochen.ch/acts/ska-p-esp/" TargetMode="External"/><Relationship Id="rId78" Type="http://schemas.openxmlformats.org/officeDocument/2006/relationships/hyperlink" Target="https://musikfestwochen.ch/acts/les-trois-suisses-ch/" TargetMode="External"/><Relationship Id="rId4" Type="http://schemas.openxmlformats.org/officeDocument/2006/relationships/hyperlink" Target="https://musikfestwochen.ch/acts/teketeke-can/" TargetMode="External"/><Relationship Id="rId9" Type="http://schemas.openxmlformats.org/officeDocument/2006/relationships/hyperlink" Target="https://musikfestwochen.ch/acts/stereo-luchs-ch/" TargetMode="External"/><Relationship Id="rId13" Type="http://schemas.openxmlformats.org/officeDocument/2006/relationships/hyperlink" Target="https://musikfestwochen.ch/acts/lele-javel-ch/" TargetMode="External"/><Relationship Id="rId18" Type="http://schemas.openxmlformats.org/officeDocument/2006/relationships/hyperlink" Target="https://musikfestwochen.ch/acts/band-it-finale/" TargetMode="External"/><Relationship Id="rId39" Type="http://schemas.openxmlformats.org/officeDocument/2006/relationships/hyperlink" Target="https://musikfestwochen.ch/acts/king-kora-ch/" TargetMode="External"/><Relationship Id="rId34" Type="http://schemas.openxmlformats.org/officeDocument/2006/relationships/hyperlink" Target="https://musikfestwochen.ch/acts/sulp-ch/" TargetMode="External"/><Relationship Id="rId50" Type="http://schemas.openxmlformats.org/officeDocument/2006/relationships/hyperlink" Target="https://musikfestwochen.ch/acts/moef-ch/" TargetMode="External"/><Relationship Id="rId55" Type="http://schemas.openxmlformats.org/officeDocument/2006/relationships/hyperlink" Target="https://musikfestwochen.ch/acts/phenomden-ch/" TargetMode="External"/><Relationship Id="rId76" Type="http://schemas.openxmlformats.org/officeDocument/2006/relationships/hyperlink" Target="https://musikfestwochen.ch/acts/black-midi-uk/" TargetMode="External"/><Relationship Id="rId7" Type="http://schemas.openxmlformats.org/officeDocument/2006/relationships/hyperlink" Target="https://musikfestwochen.ch/acts/sad-night-dynamite-uk/" TargetMode="External"/><Relationship Id="rId71" Type="http://schemas.openxmlformats.org/officeDocument/2006/relationships/hyperlink" Target="https://musikfestwochen.ch/acts/russkaja-at/" TargetMode="External"/><Relationship Id="rId2" Type="http://schemas.openxmlformats.org/officeDocument/2006/relationships/hyperlink" Target="https://musikfestwochen.ch/acts/bona-rhodes-ch/" TargetMode="External"/><Relationship Id="rId29" Type="http://schemas.openxmlformats.org/officeDocument/2006/relationships/hyperlink" Target="https://musikfestwochen.ch/acts/matinee-der-musikschulen/"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musikfestwochen.ch/acts/grace-cummings-aus/" TargetMode="External"/><Relationship Id="rId1" Type="http://schemas.openxmlformats.org/officeDocument/2006/relationships/hyperlink" Target="https://musikfestwochen.ch/acts/matinee-der-musikschul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I17"/>
  <sheetViews>
    <sheetView workbookViewId="0">
      <selection activeCell="E11" sqref="E11"/>
    </sheetView>
  </sheetViews>
  <sheetFormatPr baseColWidth="10" defaultRowHeight="15" x14ac:dyDescent="0.25"/>
  <cols>
    <col min="2" max="2" width="22.85546875" customWidth="1"/>
    <col min="4" max="4" width="18.7109375" bestFit="1" customWidth="1"/>
    <col min="5" max="5" width="14.140625" bestFit="1" customWidth="1"/>
  </cols>
  <sheetData>
    <row r="1" spans="1:9" x14ac:dyDescent="0.25">
      <c r="A1" t="s">
        <v>0</v>
      </c>
      <c r="B1" t="s">
        <v>1</v>
      </c>
      <c r="C1" t="s">
        <v>2</v>
      </c>
      <c r="D1" t="s">
        <v>3</v>
      </c>
      <c r="E1" t="s">
        <v>4</v>
      </c>
      <c r="F1" t="s">
        <v>5</v>
      </c>
      <c r="G1" t="s">
        <v>10</v>
      </c>
      <c r="H1" t="s">
        <v>6</v>
      </c>
      <c r="I1" t="s">
        <v>7</v>
      </c>
    </row>
    <row r="2" spans="1:9" x14ac:dyDescent="0.25">
      <c r="A2">
        <v>1</v>
      </c>
      <c r="B2" t="s">
        <v>16</v>
      </c>
      <c r="C2" s="1">
        <v>1</v>
      </c>
      <c r="D2" s="2">
        <v>1660149000</v>
      </c>
      <c r="E2" s="2">
        <v>1660152600</v>
      </c>
      <c r="F2" s="1">
        <v>1</v>
      </c>
      <c r="G2" t="s">
        <v>11</v>
      </c>
      <c r="H2" t="s">
        <v>8</v>
      </c>
      <c r="I2" t="s">
        <v>9</v>
      </c>
    </row>
    <row r="3" spans="1:9" x14ac:dyDescent="0.25">
      <c r="A3">
        <v>2</v>
      </c>
      <c r="B3" t="s">
        <v>12</v>
      </c>
      <c r="C3" s="1">
        <v>1</v>
      </c>
      <c r="D3" s="2">
        <v>1660501800</v>
      </c>
      <c r="E3" s="2">
        <v>1660506300</v>
      </c>
      <c r="F3" s="1">
        <v>1</v>
      </c>
      <c r="G3" t="s">
        <v>14</v>
      </c>
      <c r="H3" t="s">
        <v>13</v>
      </c>
      <c r="I3" t="s">
        <v>15</v>
      </c>
    </row>
    <row r="4" spans="1:9" x14ac:dyDescent="0.25">
      <c r="A4">
        <v>3</v>
      </c>
      <c r="B4" t="s">
        <v>17</v>
      </c>
      <c r="C4" s="1">
        <v>1</v>
      </c>
      <c r="D4" s="2">
        <v>1660754700</v>
      </c>
      <c r="E4" s="2">
        <v>1660757400</v>
      </c>
      <c r="F4" s="1">
        <v>1</v>
      </c>
      <c r="G4" t="s">
        <v>18</v>
      </c>
      <c r="H4" t="s">
        <v>20</v>
      </c>
      <c r="I4" t="s">
        <v>19</v>
      </c>
    </row>
    <row r="5" spans="1:9" x14ac:dyDescent="0.25">
      <c r="A5">
        <v>4</v>
      </c>
      <c r="B5" t="s">
        <v>21</v>
      </c>
      <c r="C5" s="1">
        <v>2</v>
      </c>
      <c r="D5" s="2">
        <v>1660588200</v>
      </c>
      <c r="E5" s="2">
        <v>1660592700</v>
      </c>
      <c r="F5" s="1">
        <v>1</v>
      </c>
      <c r="G5" t="s">
        <v>23</v>
      </c>
      <c r="H5" t="s">
        <v>22</v>
      </c>
      <c r="I5" t="s">
        <v>24</v>
      </c>
    </row>
    <row r="6" spans="1:9" x14ac:dyDescent="0.25">
      <c r="A6">
        <v>5</v>
      </c>
      <c r="B6" t="s">
        <v>25</v>
      </c>
      <c r="C6" s="1">
        <v>2</v>
      </c>
      <c r="D6" s="2">
        <v>1660416300</v>
      </c>
      <c r="E6" s="2">
        <v>1660419900</v>
      </c>
      <c r="F6" s="1">
        <v>1</v>
      </c>
      <c r="G6" t="s">
        <v>26</v>
      </c>
      <c r="H6" t="s">
        <v>27</v>
      </c>
      <c r="I6" t="s">
        <v>28</v>
      </c>
    </row>
    <row r="7" spans="1:9" x14ac:dyDescent="0.25">
      <c r="A7">
        <v>6</v>
      </c>
      <c r="B7" t="s">
        <v>29</v>
      </c>
      <c r="C7" s="1">
        <v>3</v>
      </c>
      <c r="D7" s="2">
        <v>1660587300</v>
      </c>
      <c r="E7" s="2">
        <v>1660592700</v>
      </c>
      <c r="F7" s="1">
        <v>1</v>
      </c>
      <c r="G7" t="s">
        <v>32</v>
      </c>
      <c r="H7" t="s">
        <v>31</v>
      </c>
      <c r="I7" s="3" t="s">
        <v>30</v>
      </c>
    </row>
    <row r="8" spans="1:9" x14ac:dyDescent="0.25">
      <c r="A8">
        <v>7</v>
      </c>
      <c r="B8" t="s">
        <v>33</v>
      </c>
      <c r="C8" s="1">
        <v>3</v>
      </c>
      <c r="D8" s="2" t="s">
        <v>37</v>
      </c>
      <c r="E8" s="2">
        <v>1661110200</v>
      </c>
      <c r="F8" s="1">
        <v>1</v>
      </c>
      <c r="G8" t="s">
        <v>36</v>
      </c>
      <c r="H8" t="s">
        <v>35</v>
      </c>
      <c r="I8" s="3" t="s">
        <v>34</v>
      </c>
    </row>
    <row r="9" spans="1:9" x14ac:dyDescent="0.25">
      <c r="A9">
        <v>8</v>
      </c>
      <c r="B9" t="s">
        <v>38</v>
      </c>
      <c r="C9" s="1">
        <v>4</v>
      </c>
      <c r="D9" s="2">
        <v>1660757400</v>
      </c>
      <c r="E9" s="2">
        <v>1660758300</v>
      </c>
      <c r="F9" s="1">
        <v>1</v>
      </c>
      <c r="H9" t="s">
        <v>40</v>
      </c>
      <c r="I9" s="3" t="s">
        <v>39</v>
      </c>
    </row>
    <row r="10" spans="1:9" x14ac:dyDescent="0.25">
      <c r="A10">
        <v>9</v>
      </c>
      <c r="B10" t="s">
        <v>41</v>
      </c>
      <c r="C10" s="1">
        <v>4</v>
      </c>
      <c r="D10" s="2">
        <v>1660412700</v>
      </c>
      <c r="E10" s="2">
        <v>1660413900</v>
      </c>
      <c r="F10" s="1">
        <v>1</v>
      </c>
      <c r="G10" t="s">
        <v>44</v>
      </c>
      <c r="H10" t="s">
        <v>43</v>
      </c>
      <c r="I10" t="s">
        <v>42</v>
      </c>
    </row>
    <row r="11" spans="1:9" x14ac:dyDescent="0.25">
      <c r="A11">
        <v>10</v>
      </c>
      <c r="C11" s="1"/>
      <c r="D11" s="2"/>
      <c r="E11" s="2"/>
      <c r="F11" s="1"/>
    </row>
    <row r="12" spans="1:9" x14ac:dyDescent="0.25">
      <c r="A12">
        <v>11</v>
      </c>
      <c r="C12" s="1"/>
      <c r="D12" s="2"/>
      <c r="E12" s="2"/>
      <c r="F12" s="1"/>
    </row>
    <row r="13" spans="1:9" x14ac:dyDescent="0.25">
      <c r="A13">
        <v>12</v>
      </c>
      <c r="C13" s="1"/>
      <c r="D13" s="2"/>
      <c r="E13" s="2"/>
      <c r="F13" s="1"/>
    </row>
    <row r="14" spans="1:9" x14ac:dyDescent="0.25">
      <c r="A14">
        <v>13</v>
      </c>
      <c r="C14" s="1"/>
      <c r="D14" s="2"/>
      <c r="E14" s="2"/>
      <c r="F14" s="1"/>
    </row>
    <row r="15" spans="1:9" x14ac:dyDescent="0.25">
      <c r="A15">
        <v>14</v>
      </c>
      <c r="C15" s="1"/>
      <c r="D15" s="2"/>
      <c r="E15" s="2"/>
      <c r="F15" s="1"/>
    </row>
    <row r="16" spans="1:9" x14ac:dyDescent="0.25">
      <c r="A16">
        <v>15</v>
      </c>
      <c r="C16" s="1"/>
      <c r="D16" s="2"/>
      <c r="E16" s="2"/>
      <c r="F16" s="1"/>
    </row>
    <row r="17" spans="1:6" x14ac:dyDescent="0.25">
      <c r="A17">
        <v>16</v>
      </c>
      <c r="C17" s="1"/>
      <c r="D17" s="2"/>
      <c r="E17" s="2"/>
      <c r="F17" s="1"/>
    </row>
  </sheetData>
  <hyperlinks>
    <hyperlink ref="I6" r:id="rId1" xr:uid="{7EC279BF-BE8C-40A3-AD2A-9056C6FA49E5}"/>
    <hyperlink ref="I7" r:id="rId2" xr:uid="{4330491C-981B-480A-BEE8-0DBAFF038A25}"/>
    <hyperlink ref="I8" r:id="rId3" xr:uid="{C1588207-9C9E-4E1A-8FBF-93AC552803A6}"/>
    <hyperlink ref="I9" r:id="rId4" xr:uid="{592A3590-6D91-45E0-8D6A-A43732D06EB8}"/>
  </hyperlinks>
  <pageMargins left="0.7" right="0.7" top="0.78740157499999996" bottom="0.78740157499999996" header="0.3" footer="0.3"/>
  <pageSetup paperSize="9"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L84"/>
  <sheetViews>
    <sheetView tabSelected="1" topLeftCell="C82" workbookViewId="0">
      <selection activeCell="G84" sqref="G2:G84"/>
    </sheetView>
  </sheetViews>
  <sheetFormatPr baseColWidth="10"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4" t="s">
        <v>1</v>
      </c>
      <c r="B1" s="4" t="s">
        <v>277</v>
      </c>
      <c r="C1" s="4" t="s">
        <v>278</v>
      </c>
      <c r="D1" s="4" t="s">
        <v>279</v>
      </c>
      <c r="E1" s="4" t="s">
        <v>5</v>
      </c>
      <c r="F1" s="4" t="s">
        <v>280</v>
      </c>
      <c r="G1" s="4" t="s">
        <v>6</v>
      </c>
      <c r="H1" s="4" t="s">
        <v>47</v>
      </c>
      <c r="I1" s="4"/>
      <c r="J1" s="4"/>
      <c r="K1" s="4"/>
      <c r="L1" s="4"/>
    </row>
    <row r="2" spans="1:12" x14ac:dyDescent="0.25">
      <c r="A2" s="4" t="s">
        <v>310</v>
      </c>
      <c r="B2" s="4">
        <v>1</v>
      </c>
      <c r="C2" s="4">
        <v>1660156200</v>
      </c>
      <c r="D2" s="4">
        <v>1660159800</v>
      </c>
      <c r="E2" s="4"/>
      <c r="F2" s="4" t="s">
        <v>435</v>
      </c>
      <c r="G2" s="4" t="s">
        <v>8</v>
      </c>
      <c r="H2" s="7" t="s">
        <v>9</v>
      </c>
      <c r="I2" s="4"/>
      <c r="J2" s="4"/>
      <c r="K2" s="4"/>
    </row>
    <row r="3" spans="1:12" x14ac:dyDescent="0.25">
      <c r="A3" s="4" t="s">
        <v>306</v>
      </c>
      <c r="B3" s="4">
        <v>4</v>
      </c>
      <c r="C3" s="4">
        <v>1660159800</v>
      </c>
      <c r="D3" s="4">
        <v>1660160700</v>
      </c>
      <c r="E3" s="4"/>
      <c r="F3" s="4" t="s">
        <v>435</v>
      </c>
      <c r="G3" s="4" t="s">
        <v>436</v>
      </c>
      <c r="H3" s="7" t="s">
        <v>162</v>
      </c>
      <c r="I3" s="4"/>
      <c r="J3" s="4"/>
      <c r="K3" s="4"/>
    </row>
    <row r="4" spans="1:12" x14ac:dyDescent="0.25">
      <c r="A4" s="4" t="s">
        <v>343</v>
      </c>
      <c r="B4" s="4">
        <v>5</v>
      </c>
      <c r="C4" s="4">
        <v>1660162500</v>
      </c>
      <c r="D4" s="4">
        <v>1660167900</v>
      </c>
      <c r="E4" s="4"/>
      <c r="F4" s="4" t="s">
        <v>437</v>
      </c>
      <c r="G4" s="4" t="s">
        <v>438</v>
      </c>
      <c r="H4" s="7" t="s">
        <v>192</v>
      </c>
      <c r="I4" s="4"/>
      <c r="J4" s="4"/>
      <c r="K4" s="4"/>
    </row>
    <row r="5" spans="1:12" x14ac:dyDescent="0.25">
      <c r="A5" s="4" t="s">
        <v>337</v>
      </c>
      <c r="B5" s="4">
        <v>1</v>
      </c>
      <c r="C5" s="4">
        <v>1660163400</v>
      </c>
      <c r="D5" s="4">
        <v>1660167900</v>
      </c>
      <c r="E5" s="4"/>
      <c r="F5" s="4" t="s">
        <v>439</v>
      </c>
      <c r="G5" s="4" t="s">
        <v>440</v>
      </c>
      <c r="H5" s="7" t="s">
        <v>91</v>
      </c>
      <c r="I5" s="4"/>
      <c r="J5" s="4"/>
      <c r="K5" s="4"/>
    </row>
    <row r="6" spans="1:12" x14ac:dyDescent="0.25">
      <c r="A6" s="4" t="s">
        <v>288</v>
      </c>
      <c r="B6" s="4">
        <v>2</v>
      </c>
      <c r="C6" s="4">
        <v>1660242600</v>
      </c>
      <c r="D6" s="4">
        <v>1660245300</v>
      </c>
      <c r="E6" s="4"/>
      <c r="F6" s="4" t="s">
        <v>441</v>
      </c>
      <c r="G6" s="4" t="s">
        <v>442</v>
      </c>
      <c r="H6" s="7" t="s">
        <v>76</v>
      </c>
      <c r="I6" s="4"/>
      <c r="J6" s="4"/>
      <c r="K6" s="4"/>
    </row>
    <row r="7" spans="1:12" x14ac:dyDescent="0.25">
      <c r="A7" s="4" t="s">
        <v>293</v>
      </c>
      <c r="B7" s="4">
        <v>2</v>
      </c>
      <c r="C7" s="4">
        <v>1660245300</v>
      </c>
      <c r="D7" s="4">
        <v>1660246200</v>
      </c>
      <c r="E7" s="4"/>
      <c r="F7" s="4" t="s">
        <v>441</v>
      </c>
      <c r="G7" s="4" t="s">
        <v>443</v>
      </c>
      <c r="H7" s="7" t="s">
        <v>111</v>
      </c>
      <c r="I7" s="4"/>
      <c r="J7" s="4"/>
      <c r="K7" s="4"/>
    </row>
    <row r="8" spans="1:12" x14ac:dyDescent="0.25">
      <c r="A8" s="4" t="s">
        <v>323</v>
      </c>
      <c r="B8" s="4">
        <v>2</v>
      </c>
      <c r="C8" s="4">
        <v>1660248000</v>
      </c>
      <c r="D8" s="4">
        <v>1660250700</v>
      </c>
      <c r="E8" s="4"/>
      <c r="F8" s="4" t="s">
        <v>444</v>
      </c>
      <c r="G8" s="4" t="s">
        <v>445</v>
      </c>
      <c r="H8" s="7" t="s">
        <v>233</v>
      </c>
      <c r="I8" s="4"/>
      <c r="J8" s="4"/>
      <c r="K8" s="4"/>
    </row>
    <row r="9" spans="1:12" x14ac:dyDescent="0.25">
      <c r="A9" s="4" t="s">
        <v>341</v>
      </c>
      <c r="B9" s="4">
        <v>1</v>
      </c>
      <c r="C9" s="4">
        <v>1660249800</v>
      </c>
      <c r="D9" s="4">
        <v>1660254300</v>
      </c>
      <c r="E9" s="4"/>
      <c r="F9" s="4" t="s">
        <v>446</v>
      </c>
      <c r="G9" s="4" t="s">
        <v>447</v>
      </c>
      <c r="H9" s="7" t="s">
        <v>157</v>
      </c>
      <c r="I9" s="4"/>
      <c r="J9" s="4"/>
      <c r="K9" s="4"/>
    </row>
    <row r="10" spans="1:12" x14ac:dyDescent="0.25">
      <c r="A10" s="4" t="s">
        <v>312</v>
      </c>
      <c r="B10" s="4">
        <v>1</v>
      </c>
      <c r="C10" s="4">
        <v>1660253400</v>
      </c>
      <c r="D10" s="4">
        <v>1660257900</v>
      </c>
      <c r="E10" s="4"/>
      <c r="F10" s="4" t="s">
        <v>441</v>
      </c>
      <c r="G10" s="4" t="s">
        <v>448</v>
      </c>
      <c r="H10" s="7" t="s">
        <v>186</v>
      </c>
      <c r="I10" s="4"/>
      <c r="J10" s="4"/>
      <c r="K10" s="4"/>
    </row>
    <row r="11" spans="1:12" x14ac:dyDescent="0.25">
      <c r="A11" s="4" t="s">
        <v>298</v>
      </c>
      <c r="B11" s="4">
        <v>1</v>
      </c>
      <c r="C11" s="4">
        <v>1660304700</v>
      </c>
      <c r="D11" s="4">
        <v>1660308300</v>
      </c>
      <c r="E11" s="4"/>
      <c r="F11" s="4" t="s">
        <v>449</v>
      </c>
      <c r="G11" s="4" t="s">
        <v>450</v>
      </c>
      <c r="H11" s="7" t="s">
        <v>125</v>
      </c>
      <c r="I11" s="4"/>
      <c r="J11" s="4"/>
      <c r="K11" s="4"/>
    </row>
    <row r="12" spans="1:12" x14ac:dyDescent="0.25">
      <c r="A12" s="4" t="s">
        <v>303</v>
      </c>
      <c r="B12" s="4">
        <v>1</v>
      </c>
      <c r="C12" s="4">
        <v>1660329000</v>
      </c>
      <c r="D12" s="4">
        <v>1660331700</v>
      </c>
      <c r="E12" s="4"/>
      <c r="F12" s="4" t="s">
        <v>451</v>
      </c>
      <c r="G12" s="4" t="s">
        <v>452</v>
      </c>
      <c r="H12" s="7" t="s">
        <v>148</v>
      </c>
      <c r="I12" s="4"/>
      <c r="J12" s="4"/>
      <c r="K12" s="4"/>
    </row>
    <row r="13" spans="1:12" x14ac:dyDescent="0.25">
      <c r="A13" s="4" t="s">
        <v>319</v>
      </c>
      <c r="B13" s="4">
        <v>1</v>
      </c>
      <c r="C13" s="4">
        <v>1660331700</v>
      </c>
      <c r="D13" s="4">
        <v>1660332600</v>
      </c>
      <c r="E13" s="4"/>
      <c r="F13" s="4" t="s">
        <v>453</v>
      </c>
      <c r="G13" s="4" t="s">
        <v>454</v>
      </c>
      <c r="H13" s="7" t="s">
        <v>218</v>
      </c>
      <c r="I13" s="4"/>
      <c r="J13" s="4"/>
      <c r="K13" s="4"/>
    </row>
    <row r="14" spans="1:12" x14ac:dyDescent="0.25">
      <c r="A14" s="4" t="s">
        <v>309</v>
      </c>
      <c r="B14" s="4">
        <v>2</v>
      </c>
      <c r="C14" s="4">
        <v>1660334400</v>
      </c>
      <c r="D14" s="4">
        <v>1660337100</v>
      </c>
      <c r="E14" s="4"/>
      <c r="F14" s="4" t="s">
        <v>456</v>
      </c>
      <c r="G14" s="4" t="s">
        <v>455</v>
      </c>
      <c r="H14" s="7" t="s">
        <v>176</v>
      </c>
      <c r="I14" s="4"/>
      <c r="J14" s="4"/>
      <c r="K14" s="4"/>
    </row>
    <row r="15" spans="1:12" x14ac:dyDescent="0.25">
      <c r="A15" s="4" t="s">
        <v>322</v>
      </c>
      <c r="B15" s="4">
        <v>1</v>
      </c>
      <c r="C15" s="4">
        <v>1660335300</v>
      </c>
      <c r="D15" s="4">
        <v>1660339800</v>
      </c>
      <c r="E15" s="4"/>
      <c r="F15" s="4" t="s">
        <v>458</v>
      </c>
      <c r="G15" s="4" t="s">
        <v>457</v>
      </c>
      <c r="H15" s="7" t="s">
        <v>230</v>
      </c>
      <c r="I15" s="4"/>
      <c r="J15" s="4"/>
      <c r="K15" s="4"/>
    </row>
    <row r="16" spans="1:12" x14ac:dyDescent="0.25">
      <c r="A16" s="4" t="s">
        <v>285</v>
      </c>
      <c r="B16" s="4">
        <v>6</v>
      </c>
      <c r="C16" s="4">
        <v>1660336200</v>
      </c>
      <c r="D16" s="4">
        <v>1660340700</v>
      </c>
      <c r="E16" s="4"/>
      <c r="F16" s="4" t="s">
        <v>460</v>
      </c>
      <c r="G16" s="4" t="s">
        <v>459</v>
      </c>
      <c r="H16" s="7" t="s">
        <v>67</v>
      </c>
      <c r="I16" s="4"/>
      <c r="J16" s="4"/>
      <c r="K16" s="4"/>
    </row>
    <row r="17" spans="1:11" x14ac:dyDescent="0.25">
      <c r="A17" s="4" t="s">
        <v>290</v>
      </c>
      <c r="B17" s="4">
        <v>3</v>
      </c>
      <c r="C17" s="4">
        <v>1660338900</v>
      </c>
      <c r="D17" s="4">
        <v>1660342500</v>
      </c>
      <c r="E17" s="4"/>
      <c r="F17" s="4" t="s">
        <v>461</v>
      </c>
      <c r="G17" s="4" t="s">
        <v>462</v>
      </c>
      <c r="H17" s="7" t="s">
        <v>94</v>
      </c>
      <c r="I17" s="4"/>
      <c r="J17" s="4"/>
      <c r="K17" s="4"/>
    </row>
    <row r="18" spans="1:11" x14ac:dyDescent="0.25">
      <c r="A18" s="4" t="s">
        <v>289</v>
      </c>
      <c r="B18" s="4">
        <v>3</v>
      </c>
      <c r="C18" s="4">
        <v>1660345200</v>
      </c>
      <c r="D18" s="4">
        <v>1660348200</v>
      </c>
      <c r="E18" s="4"/>
      <c r="F18" s="4" t="s">
        <v>441</v>
      </c>
      <c r="G18" s="4" t="s">
        <v>463</v>
      </c>
      <c r="H18" s="7" t="s">
        <v>88</v>
      </c>
      <c r="I18" s="4"/>
      <c r="J18" s="4"/>
      <c r="K18" s="4"/>
    </row>
    <row r="19" spans="1:11" x14ac:dyDescent="0.25">
      <c r="A19" s="4" t="s">
        <v>144</v>
      </c>
      <c r="B19" s="4">
        <v>1</v>
      </c>
      <c r="C19" s="4">
        <v>1660399200</v>
      </c>
      <c r="D19" s="4">
        <v>1660416300</v>
      </c>
      <c r="E19" s="4"/>
      <c r="F19" s="4" t="s">
        <v>464</v>
      </c>
      <c r="G19" s="4" t="s">
        <v>465</v>
      </c>
      <c r="H19" s="7" t="s">
        <v>145</v>
      </c>
      <c r="I19" s="4"/>
      <c r="J19" s="4"/>
      <c r="K19" s="4"/>
    </row>
    <row r="20" spans="1:11" x14ac:dyDescent="0.25">
      <c r="A20" s="4" t="s">
        <v>284</v>
      </c>
      <c r="B20" s="4">
        <v>4</v>
      </c>
      <c r="C20" s="4">
        <v>1660413600</v>
      </c>
      <c r="D20" s="4">
        <v>1660416000</v>
      </c>
      <c r="E20" s="4"/>
      <c r="F20" s="4" t="s">
        <v>466</v>
      </c>
      <c r="G20" s="4" t="s">
        <v>467</v>
      </c>
      <c r="H20" s="7" t="s">
        <v>63</v>
      </c>
      <c r="I20" s="4"/>
      <c r="J20" s="4"/>
      <c r="K20" s="4"/>
    </row>
    <row r="21" spans="1:11" x14ac:dyDescent="0.25">
      <c r="A21" s="4" t="s">
        <v>304</v>
      </c>
      <c r="B21" s="4">
        <v>1</v>
      </c>
      <c r="C21" s="4">
        <v>1660417800</v>
      </c>
      <c r="D21" s="4">
        <v>1660420200</v>
      </c>
      <c r="E21" s="4"/>
      <c r="F21" s="4" t="s">
        <v>468</v>
      </c>
      <c r="G21" s="4" t="s">
        <v>469</v>
      </c>
      <c r="H21" s="7" t="s">
        <v>154</v>
      </c>
      <c r="I21" s="4"/>
      <c r="J21" s="4"/>
      <c r="K21" s="4"/>
    </row>
    <row r="22" spans="1:11" x14ac:dyDescent="0.25">
      <c r="A22" s="4" t="s">
        <v>269</v>
      </c>
      <c r="B22" s="4">
        <v>1</v>
      </c>
      <c r="C22" s="4">
        <v>1660419000</v>
      </c>
      <c r="D22" s="4">
        <v>1660421400</v>
      </c>
      <c r="E22" s="4"/>
      <c r="F22" s="4" t="s">
        <v>44</v>
      </c>
      <c r="G22" s="4" t="s">
        <v>470</v>
      </c>
      <c r="H22" s="7" t="s">
        <v>270</v>
      </c>
      <c r="I22" s="4"/>
      <c r="J22" s="4"/>
      <c r="K22" s="4"/>
    </row>
    <row r="23" spans="1:11" x14ac:dyDescent="0.25">
      <c r="A23" s="4" t="s">
        <v>311</v>
      </c>
      <c r="B23" s="4">
        <v>4</v>
      </c>
      <c r="C23" s="4">
        <v>1660420200</v>
      </c>
      <c r="D23" s="4">
        <v>1660421100</v>
      </c>
      <c r="E23" s="4"/>
      <c r="F23" s="4" t="s">
        <v>44</v>
      </c>
      <c r="G23" s="4" t="s">
        <v>43</v>
      </c>
      <c r="H23" s="7" t="s">
        <v>42</v>
      </c>
      <c r="I23" s="4"/>
      <c r="J23" s="4"/>
      <c r="K23" s="4"/>
    </row>
    <row r="24" spans="1:11" x14ac:dyDescent="0.25">
      <c r="A24" s="4" t="s">
        <v>338</v>
      </c>
      <c r="B24" s="4">
        <v>4</v>
      </c>
      <c r="C24" s="4">
        <v>1660421700</v>
      </c>
      <c r="D24" s="4">
        <v>1660425300</v>
      </c>
      <c r="E24" s="4"/>
      <c r="F24" s="4" t="s">
        <v>471</v>
      </c>
      <c r="G24" s="4" t="s">
        <v>472</v>
      </c>
      <c r="H24" s="7" t="s">
        <v>101</v>
      </c>
      <c r="I24" s="4"/>
      <c r="J24" s="4"/>
      <c r="K24" s="4"/>
    </row>
    <row r="25" spans="1:11" x14ac:dyDescent="0.25">
      <c r="A25" s="4" t="s">
        <v>292</v>
      </c>
      <c r="B25" s="4">
        <v>6</v>
      </c>
      <c r="C25" s="4">
        <v>1660422600</v>
      </c>
      <c r="D25" s="4">
        <v>1660425300</v>
      </c>
      <c r="E25" s="4"/>
      <c r="F25" s="4" t="s">
        <v>473</v>
      </c>
      <c r="G25" s="4" t="s">
        <v>474</v>
      </c>
      <c r="H25" s="7" t="s">
        <v>108</v>
      </c>
      <c r="I25" s="4"/>
      <c r="J25" s="4"/>
      <c r="K25" s="4"/>
    </row>
    <row r="26" spans="1:11" x14ac:dyDescent="0.25">
      <c r="A26" s="4" t="s">
        <v>325</v>
      </c>
      <c r="B26" s="4">
        <v>1</v>
      </c>
      <c r="C26" s="4">
        <v>1660423500</v>
      </c>
      <c r="D26" s="4">
        <v>1660427100</v>
      </c>
      <c r="E26" s="4"/>
      <c r="F26" s="4" t="s">
        <v>26</v>
      </c>
      <c r="G26" s="4" t="s">
        <v>27</v>
      </c>
      <c r="H26" s="7" t="s">
        <v>28</v>
      </c>
      <c r="I26" s="4"/>
      <c r="J26" s="4"/>
      <c r="K26" s="4"/>
    </row>
    <row r="27" spans="1:11" x14ac:dyDescent="0.25">
      <c r="A27" s="4" t="s">
        <v>335</v>
      </c>
      <c r="B27" s="4">
        <v>4</v>
      </c>
      <c r="C27" s="4">
        <v>1660427100</v>
      </c>
      <c r="D27" s="4">
        <v>1660430100</v>
      </c>
      <c r="E27" s="4"/>
      <c r="F27" s="4" t="s">
        <v>475</v>
      </c>
      <c r="G27" s="4" t="s">
        <v>476</v>
      </c>
      <c r="H27" s="7" t="s">
        <v>82</v>
      </c>
      <c r="I27" s="4"/>
      <c r="J27" s="4"/>
      <c r="K27" s="4"/>
    </row>
    <row r="28" spans="1:11" x14ac:dyDescent="0.25">
      <c r="A28" s="4" t="s">
        <v>330</v>
      </c>
      <c r="B28" s="4">
        <v>1</v>
      </c>
      <c r="C28" s="4">
        <v>1660431600</v>
      </c>
      <c r="D28" s="4">
        <v>1660434900</v>
      </c>
      <c r="E28" s="4"/>
      <c r="F28" s="4" t="s">
        <v>477</v>
      </c>
      <c r="G28" s="4" t="s">
        <v>478</v>
      </c>
      <c r="H28" s="7" t="s">
        <v>252</v>
      </c>
      <c r="I28" s="4"/>
      <c r="J28" s="4"/>
      <c r="K28" s="4"/>
    </row>
    <row r="29" spans="1:11" x14ac:dyDescent="0.25">
      <c r="A29" s="4" t="s">
        <v>427</v>
      </c>
      <c r="B29" s="4">
        <v>5</v>
      </c>
      <c r="C29" s="4">
        <v>1660485600</v>
      </c>
      <c r="D29" s="4">
        <v>1660496400</v>
      </c>
      <c r="E29" s="4"/>
      <c r="F29" s="4"/>
      <c r="G29" s="4"/>
      <c r="H29" s="7"/>
      <c r="I29" s="4"/>
      <c r="J29" s="4"/>
      <c r="K29" s="4"/>
    </row>
    <row r="30" spans="1:11" x14ac:dyDescent="0.25">
      <c r="A30" s="4" t="s">
        <v>429</v>
      </c>
      <c r="B30" s="4">
        <v>2</v>
      </c>
      <c r="C30" s="4">
        <v>1660485600</v>
      </c>
      <c r="D30" s="4">
        <v>1660496400</v>
      </c>
      <c r="E30" s="4"/>
      <c r="F30" s="4"/>
      <c r="G30" s="4"/>
      <c r="H30" s="7"/>
      <c r="I30" s="4"/>
      <c r="J30" s="4"/>
      <c r="K30" s="4"/>
    </row>
    <row r="31" spans="1:11" x14ac:dyDescent="0.25">
      <c r="A31" s="4" t="s">
        <v>321</v>
      </c>
      <c r="B31" s="4">
        <v>1</v>
      </c>
      <c r="C31" s="4">
        <v>1660489200</v>
      </c>
      <c r="D31" s="4">
        <v>1660491900</v>
      </c>
      <c r="E31" s="4"/>
      <c r="F31" s="4" t="s">
        <v>464</v>
      </c>
      <c r="G31" s="4" t="s">
        <v>479</v>
      </c>
      <c r="H31" s="7" t="s">
        <v>227</v>
      </c>
      <c r="I31" s="4"/>
      <c r="J31" s="4"/>
      <c r="K31" s="4"/>
    </row>
    <row r="32" spans="1:11" x14ac:dyDescent="0.25">
      <c r="A32" s="4" t="s">
        <v>430</v>
      </c>
      <c r="B32" s="4">
        <v>2</v>
      </c>
      <c r="C32" s="4">
        <v>1660494600</v>
      </c>
      <c r="D32" s="4">
        <v>1660498200</v>
      </c>
      <c r="E32" s="4"/>
      <c r="F32" s="4"/>
      <c r="G32" s="4"/>
      <c r="H32" s="7"/>
      <c r="I32" s="4"/>
      <c r="J32" s="4"/>
      <c r="K32" s="4"/>
    </row>
    <row r="33" spans="1:11" x14ac:dyDescent="0.25">
      <c r="A33" s="4" t="s">
        <v>421</v>
      </c>
      <c r="B33" s="4">
        <v>1</v>
      </c>
      <c r="C33" s="4">
        <v>1660478400</v>
      </c>
      <c r="D33" s="4">
        <v>1660489200</v>
      </c>
      <c r="E33" s="4"/>
      <c r="F33" s="4"/>
      <c r="G33" s="4" t="s">
        <v>480</v>
      </c>
      <c r="H33" s="7" t="s">
        <v>422</v>
      </c>
      <c r="I33" s="4"/>
      <c r="J33" s="4"/>
      <c r="K33" s="4"/>
    </row>
    <row r="34" spans="1:11" x14ac:dyDescent="0.25">
      <c r="A34" s="4" t="s">
        <v>307</v>
      </c>
      <c r="B34" s="4">
        <v>3</v>
      </c>
      <c r="C34" s="4">
        <v>1660492800</v>
      </c>
      <c r="D34" s="4">
        <v>1660495500</v>
      </c>
      <c r="E34" s="4"/>
      <c r="F34" s="4" t="s">
        <v>482</v>
      </c>
      <c r="G34" s="4" t="s">
        <v>481</v>
      </c>
      <c r="H34" s="7" t="s">
        <v>168</v>
      </c>
      <c r="I34" s="4"/>
      <c r="J34" s="4"/>
      <c r="K34" s="4"/>
    </row>
    <row r="35" spans="1:11" x14ac:dyDescent="0.25">
      <c r="A35" s="4" t="s">
        <v>334</v>
      </c>
      <c r="B35" s="4">
        <v>1</v>
      </c>
      <c r="C35" s="4">
        <v>1660497300</v>
      </c>
      <c r="D35" s="4">
        <v>1660500900</v>
      </c>
      <c r="E35" s="4"/>
      <c r="F35" s="4" t="s">
        <v>484</v>
      </c>
      <c r="G35" s="4" t="s">
        <v>483</v>
      </c>
      <c r="H35" s="7" t="s">
        <v>79</v>
      </c>
      <c r="I35" s="4"/>
      <c r="J35" s="4"/>
      <c r="K35" s="4"/>
    </row>
    <row r="36" spans="1:11" x14ac:dyDescent="0.25">
      <c r="A36" s="4" t="s">
        <v>299</v>
      </c>
      <c r="B36" s="4">
        <v>2</v>
      </c>
      <c r="C36" s="4">
        <v>1660500900</v>
      </c>
      <c r="D36" s="4">
        <v>1660501800</v>
      </c>
      <c r="E36" s="4"/>
      <c r="F36" s="4" t="s">
        <v>485</v>
      </c>
      <c r="G36" s="4" t="s">
        <v>486</v>
      </c>
      <c r="H36" s="7" t="s">
        <v>131</v>
      </c>
      <c r="I36" s="4"/>
      <c r="J36" s="4"/>
      <c r="K36" s="4"/>
    </row>
    <row r="37" spans="1:11" x14ac:dyDescent="0.25">
      <c r="A37" s="4" t="s">
        <v>313</v>
      </c>
      <c r="B37" s="4">
        <v>3</v>
      </c>
      <c r="C37" s="4">
        <v>1660503600</v>
      </c>
      <c r="D37" s="4">
        <v>1660507200</v>
      </c>
      <c r="E37" s="4"/>
      <c r="F37" s="4" t="s">
        <v>488</v>
      </c>
      <c r="G37" s="4" t="s">
        <v>487</v>
      </c>
      <c r="H37" s="7" t="s">
        <v>189</v>
      </c>
      <c r="I37" s="4"/>
      <c r="J37" s="4"/>
      <c r="K37" s="4"/>
    </row>
    <row r="38" spans="1:11" x14ac:dyDescent="0.25">
      <c r="A38" s="4" t="s">
        <v>315</v>
      </c>
      <c r="B38" s="4">
        <v>4</v>
      </c>
      <c r="C38" s="4">
        <v>1660508100</v>
      </c>
      <c r="D38" s="4">
        <v>1660512600</v>
      </c>
      <c r="E38" s="4"/>
      <c r="F38" s="4" t="s">
        <v>490</v>
      </c>
      <c r="G38" s="4" t="s">
        <v>489</v>
      </c>
      <c r="H38" s="7" t="s">
        <v>198</v>
      </c>
      <c r="I38" s="4"/>
      <c r="J38" s="4"/>
      <c r="K38" s="4"/>
    </row>
    <row r="39" spans="1:11" x14ac:dyDescent="0.25">
      <c r="A39" s="4" t="s">
        <v>286</v>
      </c>
      <c r="B39" s="4">
        <v>3</v>
      </c>
      <c r="C39" s="4">
        <v>1660509000</v>
      </c>
      <c r="D39" s="4">
        <v>1660513500</v>
      </c>
      <c r="E39" s="4"/>
      <c r="F39" s="4" t="s">
        <v>492</v>
      </c>
      <c r="G39" s="4" t="s">
        <v>491</v>
      </c>
      <c r="H39" s="7" t="s">
        <v>70</v>
      </c>
      <c r="I39" s="4"/>
      <c r="J39" s="4"/>
      <c r="K39" s="4"/>
    </row>
    <row r="40" spans="1:11" x14ac:dyDescent="0.25">
      <c r="A40" s="4" t="s">
        <v>324</v>
      </c>
      <c r="B40" s="4">
        <v>1</v>
      </c>
      <c r="C40" s="4">
        <v>1660509000</v>
      </c>
      <c r="D40" s="4">
        <v>1660513500</v>
      </c>
      <c r="E40" s="4"/>
      <c r="F40" s="4" t="s">
        <v>14</v>
      </c>
      <c r="G40" s="4" t="s">
        <v>13</v>
      </c>
      <c r="H40" s="7" t="s">
        <v>15</v>
      </c>
      <c r="I40" s="4"/>
      <c r="J40" s="4"/>
      <c r="K40" s="4"/>
    </row>
    <row r="41" spans="1:11" x14ac:dyDescent="0.25">
      <c r="A41" s="4" t="s">
        <v>329</v>
      </c>
      <c r="B41" s="4">
        <v>1</v>
      </c>
      <c r="C41" s="4">
        <v>1660589100</v>
      </c>
      <c r="D41" s="4">
        <v>1660592700</v>
      </c>
      <c r="E41" s="4"/>
      <c r="F41" s="4" t="s">
        <v>494</v>
      </c>
      <c r="G41" s="4" t="s">
        <v>493</v>
      </c>
      <c r="H41" s="7" t="s">
        <v>249</v>
      </c>
      <c r="I41" s="4"/>
      <c r="J41" s="4"/>
      <c r="K41" s="4"/>
    </row>
    <row r="42" spans="1:11" x14ac:dyDescent="0.25">
      <c r="A42" s="4" t="s">
        <v>340</v>
      </c>
      <c r="B42" s="4">
        <v>1</v>
      </c>
      <c r="C42" s="4">
        <v>1660592700</v>
      </c>
      <c r="D42" s="4">
        <v>1660595400</v>
      </c>
      <c r="E42" s="4"/>
      <c r="F42" s="4" t="s">
        <v>495</v>
      </c>
      <c r="G42" s="4" t="s">
        <v>496</v>
      </c>
      <c r="H42" s="7" t="s">
        <v>137</v>
      </c>
      <c r="I42" s="4"/>
      <c r="J42" s="4"/>
      <c r="K42" s="4"/>
    </row>
    <row r="43" spans="1:11" x14ac:dyDescent="0.25">
      <c r="A43" s="4" t="s">
        <v>320</v>
      </c>
      <c r="B43" s="4">
        <v>1</v>
      </c>
      <c r="C43" s="4">
        <v>1660592700</v>
      </c>
      <c r="D43" s="4">
        <v>1660593600</v>
      </c>
      <c r="E43" s="4"/>
      <c r="F43" s="4"/>
      <c r="G43" s="4"/>
      <c r="H43" s="7" t="s">
        <v>224</v>
      </c>
      <c r="I43" s="4"/>
      <c r="J43" s="4"/>
      <c r="K43" s="4"/>
    </row>
    <row r="44" spans="1:11" x14ac:dyDescent="0.25">
      <c r="A44" s="4" t="s">
        <v>305</v>
      </c>
      <c r="B44" s="4">
        <v>1</v>
      </c>
      <c r="C44" s="4">
        <v>1660594500</v>
      </c>
      <c r="D44" s="4">
        <v>1660599900</v>
      </c>
      <c r="E44" s="4"/>
      <c r="F44" s="4" t="s">
        <v>497</v>
      </c>
      <c r="G44" s="4" t="s">
        <v>498</v>
      </c>
      <c r="H44" s="7" t="s">
        <v>30</v>
      </c>
      <c r="I44" s="4"/>
      <c r="J44" s="4"/>
      <c r="K44" s="4"/>
    </row>
    <row r="45" spans="1:11" x14ac:dyDescent="0.25">
      <c r="A45" s="4" t="s">
        <v>301</v>
      </c>
      <c r="B45" s="4">
        <v>1</v>
      </c>
      <c r="C45" s="4">
        <v>1660595400</v>
      </c>
      <c r="D45" s="4">
        <v>1660599900</v>
      </c>
      <c r="E45" s="4"/>
      <c r="F45" s="4" t="s">
        <v>23</v>
      </c>
      <c r="G45" s="4" t="s">
        <v>22</v>
      </c>
      <c r="H45" s="7" t="s">
        <v>24</v>
      </c>
      <c r="I45" s="4"/>
      <c r="J45" s="4"/>
      <c r="K45" s="4"/>
    </row>
    <row r="46" spans="1:11" x14ac:dyDescent="0.25">
      <c r="A46" s="4" t="s">
        <v>331</v>
      </c>
      <c r="B46" s="4">
        <v>4</v>
      </c>
      <c r="C46" s="4">
        <v>1660595400</v>
      </c>
      <c r="D46" s="4">
        <v>1660599000</v>
      </c>
      <c r="E46" s="4"/>
      <c r="F46" s="4" t="s">
        <v>499</v>
      </c>
      <c r="G46" s="4" t="s">
        <v>500</v>
      </c>
      <c r="H46" s="7" t="s">
        <v>267</v>
      </c>
      <c r="I46" s="4"/>
      <c r="J46" s="4"/>
      <c r="K46" s="4"/>
    </row>
    <row r="47" spans="1:11" x14ac:dyDescent="0.25">
      <c r="A47" s="4" t="s">
        <v>328</v>
      </c>
      <c r="B47" s="4">
        <v>1</v>
      </c>
      <c r="C47" s="4">
        <v>1660650300</v>
      </c>
      <c r="D47" s="4">
        <v>1660653900</v>
      </c>
      <c r="E47" s="4"/>
      <c r="F47" s="4" t="s">
        <v>501</v>
      </c>
      <c r="G47" s="4" t="s">
        <v>502</v>
      </c>
      <c r="H47" s="7" t="s">
        <v>246</v>
      </c>
      <c r="I47" s="4"/>
      <c r="J47" s="4"/>
      <c r="K47" s="4"/>
    </row>
    <row r="48" spans="1:11" x14ac:dyDescent="0.25">
      <c r="A48" s="4" t="s">
        <v>308</v>
      </c>
      <c r="B48" s="4">
        <v>1</v>
      </c>
      <c r="C48" s="4">
        <v>1660675500</v>
      </c>
      <c r="D48" s="4">
        <v>1660678200</v>
      </c>
      <c r="E48" s="4"/>
      <c r="F48" s="4" t="s">
        <v>503</v>
      </c>
      <c r="G48" s="4" t="s">
        <v>504</v>
      </c>
      <c r="H48" s="7" t="s">
        <v>173</v>
      </c>
      <c r="I48" s="4"/>
      <c r="J48" s="4"/>
      <c r="K48" s="4"/>
    </row>
    <row r="49" spans="1:11" x14ac:dyDescent="0.25">
      <c r="A49" s="4" t="s">
        <v>260</v>
      </c>
      <c r="B49" s="4">
        <v>1</v>
      </c>
      <c r="C49" s="4">
        <v>1660677300</v>
      </c>
      <c r="D49" s="4">
        <v>1660680000</v>
      </c>
      <c r="E49" s="4"/>
      <c r="F49" s="4" t="s">
        <v>506</v>
      </c>
      <c r="G49" s="4" t="s">
        <v>505</v>
      </c>
      <c r="H49" s="7" t="s">
        <v>261</v>
      </c>
      <c r="I49" s="4"/>
      <c r="J49" s="4"/>
      <c r="K49" s="4"/>
    </row>
    <row r="50" spans="1:11" x14ac:dyDescent="0.25">
      <c r="A50" s="4" t="s">
        <v>297</v>
      </c>
      <c r="B50" s="4">
        <v>6</v>
      </c>
      <c r="C50" s="4">
        <v>1660678200</v>
      </c>
      <c r="D50" s="4">
        <v>1660679100</v>
      </c>
      <c r="E50" s="4"/>
      <c r="F50" s="4" t="s">
        <v>507</v>
      </c>
      <c r="G50" s="4" t="s">
        <v>508</v>
      </c>
      <c r="H50" s="7" t="s">
        <v>122</v>
      </c>
      <c r="I50" s="4"/>
      <c r="J50" s="4"/>
      <c r="K50" s="4"/>
    </row>
    <row r="51" spans="1:11" x14ac:dyDescent="0.25">
      <c r="A51" s="4" t="s">
        <v>283</v>
      </c>
      <c r="B51" s="4">
        <v>3</v>
      </c>
      <c r="C51" s="4">
        <v>1660679100</v>
      </c>
      <c r="D51" s="4">
        <v>1660681800</v>
      </c>
      <c r="E51" s="4"/>
      <c r="F51" s="4" t="s">
        <v>510</v>
      </c>
      <c r="G51" s="4" t="s">
        <v>509</v>
      </c>
      <c r="H51" s="7" t="s">
        <v>59</v>
      </c>
      <c r="I51" s="4"/>
      <c r="J51" s="4"/>
      <c r="K51" s="4"/>
    </row>
    <row r="52" spans="1:11" x14ac:dyDescent="0.25">
      <c r="A52" s="4" t="s">
        <v>281</v>
      </c>
      <c r="B52" s="4">
        <v>1</v>
      </c>
      <c r="C52" s="4">
        <v>1660680900</v>
      </c>
      <c r="D52" s="4">
        <v>1660686300</v>
      </c>
      <c r="E52" s="4"/>
      <c r="F52" s="4" t="s">
        <v>512</v>
      </c>
      <c r="G52" s="4" t="s">
        <v>511</v>
      </c>
      <c r="H52" s="7" t="s">
        <v>51</v>
      </c>
      <c r="I52" s="4"/>
      <c r="J52" s="4"/>
      <c r="K52" s="4"/>
    </row>
    <row r="53" spans="1:11" x14ac:dyDescent="0.25">
      <c r="A53" s="4" t="s">
        <v>349</v>
      </c>
      <c r="B53" s="4">
        <v>1</v>
      </c>
      <c r="C53" s="4">
        <v>1660680900</v>
      </c>
      <c r="D53" s="4">
        <v>1660685400</v>
      </c>
      <c r="E53" s="4"/>
      <c r="F53" s="4" t="s">
        <v>513</v>
      </c>
      <c r="G53" s="4" t="s">
        <v>514</v>
      </c>
      <c r="H53" s="7" t="s">
        <v>264</v>
      </c>
      <c r="I53" s="4"/>
      <c r="J53" s="4"/>
      <c r="K53" s="4"/>
    </row>
    <row r="54" spans="1:11" x14ac:dyDescent="0.25">
      <c r="A54" s="4" t="s">
        <v>333</v>
      </c>
      <c r="B54" s="4">
        <v>3</v>
      </c>
      <c r="C54" s="4">
        <v>1660680900</v>
      </c>
      <c r="D54" s="4">
        <v>1660684500</v>
      </c>
      <c r="E54" s="4"/>
      <c r="F54" s="4" t="s">
        <v>515</v>
      </c>
      <c r="G54" s="4" t="s">
        <v>516</v>
      </c>
      <c r="H54" s="7" t="s">
        <v>276</v>
      </c>
      <c r="I54" s="4"/>
      <c r="J54" s="4"/>
      <c r="K54" s="4"/>
    </row>
    <row r="55" spans="1:11" x14ac:dyDescent="0.25">
      <c r="A55" s="4" t="s">
        <v>314</v>
      </c>
      <c r="B55" s="4">
        <v>5</v>
      </c>
      <c r="C55" s="4">
        <v>1660736700</v>
      </c>
      <c r="D55" s="4">
        <v>1660740300</v>
      </c>
      <c r="E55" s="4"/>
      <c r="F55" s="4" t="s">
        <v>517</v>
      </c>
      <c r="G55" s="4" t="s">
        <v>518</v>
      </c>
      <c r="H55" s="7" t="s">
        <v>195</v>
      </c>
      <c r="I55" s="4"/>
      <c r="J55" s="4"/>
      <c r="K55" s="4"/>
    </row>
    <row r="56" spans="1:11" x14ac:dyDescent="0.25">
      <c r="A56" s="4" t="s">
        <v>339</v>
      </c>
      <c r="B56" s="4">
        <v>1</v>
      </c>
      <c r="C56" s="4">
        <v>1660748400</v>
      </c>
      <c r="D56" s="4">
        <v>1660752000</v>
      </c>
      <c r="E56" s="4"/>
      <c r="F56" s="4" t="s">
        <v>519</v>
      </c>
      <c r="G56" s="4" t="s">
        <v>520</v>
      </c>
      <c r="H56" s="7" t="s">
        <v>128</v>
      </c>
      <c r="I56" s="4"/>
      <c r="J56" s="4"/>
      <c r="K56" s="4"/>
    </row>
    <row r="57" spans="1:11" x14ac:dyDescent="0.25">
      <c r="A57" s="4" t="s">
        <v>170</v>
      </c>
      <c r="B57" s="4">
        <v>3</v>
      </c>
      <c r="C57" s="4">
        <v>1660761900</v>
      </c>
      <c r="D57" s="4">
        <v>1660764600</v>
      </c>
      <c r="E57" s="4"/>
      <c r="F57" s="4" t="s">
        <v>18</v>
      </c>
      <c r="G57" s="4" t="s">
        <v>521</v>
      </c>
      <c r="H57" s="7" t="s">
        <v>19</v>
      </c>
      <c r="I57" s="4"/>
      <c r="J57" s="4"/>
      <c r="K57" s="4"/>
    </row>
    <row r="58" spans="1:11" x14ac:dyDescent="0.25">
      <c r="A58" s="4" t="s">
        <v>296</v>
      </c>
      <c r="B58" s="4">
        <v>4</v>
      </c>
      <c r="C58" s="4">
        <v>1660764600</v>
      </c>
      <c r="D58" s="4">
        <v>1660765500</v>
      </c>
      <c r="E58" s="4"/>
      <c r="F58" s="4" t="s">
        <v>522</v>
      </c>
      <c r="G58" s="4" t="s">
        <v>40</v>
      </c>
      <c r="H58" s="7" t="s">
        <v>39</v>
      </c>
      <c r="I58" s="4"/>
      <c r="J58" s="4"/>
      <c r="K58" s="4"/>
    </row>
    <row r="59" spans="1:11" x14ac:dyDescent="0.25">
      <c r="A59" s="4" t="s">
        <v>345</v>
      </c>
      <c r="B59" s="4">
        <v>1</v>
      </c>
      <c r="C59" s="4">
        <v>1660765500</v>
      </c>
      <c r="D59" s="4">
        <v>1660768200</v>
      </c>
      <c r="E59" s="4"/>
      <c r="F59" s="4" t="s">
        <v>523</v>
      </c>
      <c r="G59" s="4" t="s">
        <v>524</v>
      </c>
      <c r="H59" s="7" t="s">
        <v>210</v>
      </c>
      <c r="I59" s="4"/>
      <c r="J59" s="4"/>
      <c r="K59" s="4"/>
    </row>
    <row r="60" spans="1:11" x14ac:dyDescent="0.25">
      <c r="A60" s="4" t="s">
        <v>302</v>
      </c>
      <c r="B60" s="4">
        <v>4</v>
      </c>
      <c r="C60" s="4">
        <v>1660767300</v>
      </c>
      <c r="D60" s="4">
        <v>1660772700</v>
      </c>
      <c r="E60" s="4"/>
      <c r="F60" s="4" t="s">
        <v>526</v>
      </c>
      <c r="G60" s="4" t="s">
        <v>525</v>
      </c>
      <c r="H60" s="7" t="s">
        <v>142</v>
      </c>
      <c r="I60" s="4"/>
      <c r="J60" s="4"/>
      <c r="K60" s="4"/>
    </row>
    <row r="61" spans="1:11" x14ac:dyDescent="0.25">
      <c r="A61" s="4" t="s">
        <v>332</v>
      </c>
      <c r="B61" s="4">
        <v>2</v>
      </c>
      <c r="C61" s="4">
        <v>1660767300</v>
      </c>
      <c r="D61" s="4">
        <v>1660771800</v>
      </c>
      <c r="E61" s="4"/>
      <c r="F61" s="4" t="s">
        <v>528</v>
      </c>
      <c r="G61" s="4" t="s">
        <v>527</v>
      </c>
      <c r="H61" s="7" t="s">
        <v>273</v>
      </c>
      <c r="I61" s="4"/>
      <c r="J61" s="4"/>
      <c r="K61" s="4"/>
    </row>
    <row r="62" spans="1:11" x14ac:dyDescent="0.25">
      <c r="A62" s="4" t="s">
        <v>429</v>
      </c>
      <c r="B62" s="4">
        <v>3</v>
      </c>
      <c r="C62" s="4">
        <v>1660744800</v>
      </c>
      <c r="D62" s="4">
        <v>1660755600</v>
      </c>
      <c r="E62" s="4"/>
      <c r="F62" s="4"/>
      <c r="G62" s="4"/>
      <c r="H62" s="7"/>
      <c r="I62" s="4"/>
      <c r="J62" s="4"/>
      <c r="K62" s="4"/>
    </row>
    <row r="63" spans="1:11" x14ac:dyDescent="0.25">
      <c r="A63" s="4" t="s">
        <v>348</v>
      </c>
      <c r="B63" s="4">
        <v>1</v>
      </c>
      <c r="C63" s="4">
        <v>1660768200</v>
      </c>
      <c r="D63" s="4">
        <v>1660772700</v>
      </c>
      <c r="E63" s="4"/>
      <c r="F63" s="4" t="s">
        <v>529</v>
      </c>
      <c r="G63" s="4" t="s">
        <v>530</v>
      </c>
      <c r="H63" s="7" t="s">
        <v>258</v>
      </c>
      <c r="I63" s="4"/>
      <c r="J63" s="4"/>
      <c r="K63" s="4"/>
    </row>
    <row r="64" spans="1:11" x14ac:dyDescent="0.25">
      <c r="A64" s="4" t="s">
        <v>291</v>
      </c>
      <c r="B64" s="4">
        <v>1</v>
      </c>
      <c r="C64" s="4">
        <v>1660823100</v>
      </c>
      <c r="D64" s="4">
        <v>1660826700</v>
      </c>
      <c r="E64" s="4"/>
      <c r="F64" s="4" t="s">
        <v>531</v>
      </c>
      <c r="G64" s="4" t="s">
        <v>532</v>
      </c>
      <c r="H64" s="7" t="s">
        <v>97</v>
      </c>
      <c r="I64" s="4"/>
      <c r="J64" s="4"/>
      <c r="K64" s="4"/>
    </row>
    <row r="65" spans="1:11" x14ac:dyDescent="0.25">
      <c r="A65" s="4" t="s">
        <v>316</v>
      </c>
      <c r="B65" s="4">
        <v>2</v>
      </c>
      <c r="C65" s="4">
        <v>1660847400</v>
      </c>
      <c r="D65" s="4">
        <v>1660850100</v>
      </c>
      <c r="E65" s="4"/>
      <c r="F65" s="4" t="s">
        <v>533</v>
      </c>
      <c r="G65" s="4" t="s">
        <v>534</v>
      </c>
      <c r="H65" s="7" t="s">
        <v>201</v>
      </c>
      <c r="I65" s="4"/>
      <c r="J65" s="4"/>
      <c r="K65" s="4"/>
    </row>
    <row r="66" spans="1:11" x14ac:dyDescent="0.25">
      <c r="A66" s="4" t="s">
        <v>282</v>
      </c>
      <c r="B66" s="4">
        <v>1</v>
      </c>
      <c r="C66" s="4">
        <v>1660850100</v>
      </c>
      <c r="D66" s="4">
        <v>1660851000</v>
      </c>
      <c r="E66" s="4"/>
      <c r="F66" s="4" t="s">
        <v>535</v>
      </c>
      <c r="G66" s="4" t="s">
        <v>536</v>
      </c>
      <c r="H66" s="7" t="s">
        <v>55</v>
      </c>
      <c r="I66" s="4"/>
      <c r="J66" s="4"/>
      <c r="K66" s="4"/>
    </row>
    <row r="67" spans="1:11" x14ac:dyDescent="0.25">
      <c r="A67" s="4" t="s">
        <v>300</v>
      </c>
      <c r="B67" s="4">
        <v>3</v>
      </c>
      <c r="C67" s="4">
        <v>1660852800</v>
      </c>
      <c r="D67" s="4">
        <v>1660856400</v>
      </c>
      <c r="E67" s="4"/>
      <c r="F67" s="4" t="s">
        <v>537</v>
      </c>
      <c r="G67" s="4" t="s">
        <v>538</v>
      </c>
      <c r="H67" s="7" t="s">
        <v>134</v>
      </c>
      <c r="I67" s="4"/>
      <c r="J67" s="4"/>
      <c r="K67" s="4"/>
    </row>
    <row r="68" spans="1:11" x14ac:dyDescent="0.25">
      <c r="A68" s="4" t="s">
        <v>150</v>
      </c>
      <c r="B68" s="4">
        <v>6</v>
      </c>
      <c r="C68" s="4">
        <v>1660853700</v>
      </c>
      <c r="D68" s="4">
        <v>1660858200</v>
      </c>
      <c r="E68" s="4"/>
      <c r="F68" s="4" t="s">
        <v>540</v>
      </c>
      <c r="G68" s="4" t="s">
        <v>539</v>
      </c>
      <c r="H68" s="7" t="s">
        <v>151</v>
      </c>
      <c r="I68" s="4"/>
      <c r="J68" s="4"/>
      <c r="K68" s="4"/>
    </row>
    <row r="69" spans="1:11" x14ac:dyDescent="0.25">
      <c r="A69" s="4" t="s">
        <v>287</v>
      </c>
      <c r="B69" s="4">
        <v>1</v>
      </c>
      <c r="C69" s="4">
        <v>1660854600</v>
      </c>
      <c r="D69" s="4">
        <v>1660859040</v>
      </c>
      <c r="E69" s="4"/>
      <c r="F69" s="4" t="s">
        <v>541</v>
      </c>
      <c r="G69" s="4" t="s">
        <v>542</v>
      </c>
      <c r="H69" s="7" t="s">
        <v>73</v>
      </c>
      <c r="I69" s="4"/>
      <c r="J69" s="4"/>
      <c r="K69" s="4"/>
    </row>
    <row r="70" spans="1:11" x14ac:dyDescent="0.25">
      <c r="A70" s="4" t="s">
        <v>294</v>
      </c>
      <c r="B70" s="4">
        <v>1</v>
      </c>
      <c r="C70" s="4">
        <v>1660858200</v>
      </c>
      <c r="D70" s="4">
        <v>1660862700</v>
      </c>
      <c r="E70" s="4"/>
      <c r="F70" s="4" t="s">
        <v>543</v>
      </c>
      <c r="G70" s="4" t="s">
        <v>544</v>
      </c>
      <c r="H70" s="7" t="s">
        <v>114</v>
      </c>
      <c r="I70" s="4"/>
      <c r="J70" s="4"/>
      <c r="K70" s="4"/>
    </row>
    <row r="71" spans="1:11" x14ac:dyDescent="0.25">
      <c r="A71" s="4" t="s">
        <v>327</v>
      </c>
      <c r="B71" s="4">
        <v>1</v>
      </c>
      <c r="C71" s="4">
        <v>1660940100</v>
      </c>
      <c r="D71" s="4">
        <v>1660945500</v>
      </c>
      <c r="E71" s="4"/>
      <c r="F71" s="4" t="s">
        <v>545</v>
      </c>
      <c r="G71" s="4" t="s">
        <v>546</v>
      </c>
      <c r="H71" s="7" t="s">
        <v>243</v>
      </c>
      <c r="I71" s="4"/>
      <c r="J71" s="4"/>
      <c r="K71" s="4"/>
    </row>
    <row r="72" spans="1:11" x14ac:dyDescent="0.25">
      <c r="A72" s="4" t="s">
        <v>424</v>
      </c>
      <c r="B72" s="4">
        <v>2</v>
      </c>
      <c r="C72" s="4">
        <v>1660851000</v>
      </c>
      <c r="D72" s="4">
        <v>1660853400</v>
      </c>
      <c r="E72" s="4"/>
      <c r="F72" s="4" t="s">
        <v>547</v>
      </c>
      <c r="G72" s="4" t="s">
        <v>548</v>
      </c>
      <c r="H72" s="7" t="s">
        <v>426</v>
      </c>
      <c r="I72" s="4"/>
      <c r="J72" s="4"/>
      <c r="K72" s="4"/>
    </row>
    <row r="73" spans="1:11" x14ac:dyDescent="0.25">
      <c r="A73" s="4" t="s">
        <v>342</v>
      </c>
      <c r="B73" s="4">
        <v>2</v>
      </c>
      <c r="C73" s="4">
        <v>1660941600</v>
      </c>
      <c r="D73" s="4">
        <v>1660946100</v>
      </c>
      <c r="E73" s="4"/>
      <c r="F73" s="4" t="s">
        <v>549</v>
      </c>
      <c r="G73" s="4" t="s">
        <v>550</v>
      </c>
      <c r="H73" s="7" t="s">
        <v>179</v>
      </c>
      <c r="I73" s="4"/>
      <c r="J73" s="4"/>
      <c r="K73" s="4"/>
    </row>
    <row r="74" spans="1:11" x14ac:dyDescent="0.25">
      <c r="A74" s="4" t="s">
        <v>347</v>
      </c>
      <c r="B74" s="4">
        <v>1</v>
      </c>
      <c r="C74" s="4">
        <v>1660948200</v>
      </c>
      <c r="D74" s="4">
        <v>1660953600</v>
      </c>
      <c r="E74" s="4"/>
      <c r="F74" s="4" t="s">
        <v>551</v>
      </c>
      <c r="G74" s="4" t="s">
        <v>552</v>
      </c>
      <c r="H74" s="7" t="s">
        <v>255</v>
      </c>
      <c r="I74" s="4"/>
      <c r="J74" s="4"/>
      <c r="K74" s="4"/>
    </row>
    <row r="75" spans="1:11" x14ac:dyDescent="0.25">
      <c r="A75" s="4" t="s">
        <v>206</v>
      </c>
      <c r="B75" s="4">
        <v>1</v>
      </c>
      <c r="C75" s="4">
        <v>1661004000</v>
      </c>
      <c r="D75" s="4">
        <v>1661007000</v>
      </c>
      <c r="E75" s="4"/>
      <c r="F75" s="4" t="s">
        <v>553</v>
      </c>
      <c r="G75" s="4" t="s">
        <v>554</v>
      </c>
      <c r="H75" s="7" t="s">
        <v>207</v>
      </c>
      <c r="I75" s="4"/>
      <c r="J75" s="4"/>
      <c r="K75" s="4"/>
    </row>
    <row r="76" spans="1:11" x14ac:dyDescent="0.25">
      <c r="A76" s="4" t="s">
        <v>346</v>
      </c>
      <c r="B76" s="4">
        <v>2</v>
      </c>
      <c r="C76" s="4">
        <v>1661021100</v>
      </c>
      <c r="D76" s="4">
        <v>1661023800</v>
      </c>
      <c r="E76" s="4"/>
      <c r="F76" s="4" t="s">
        <v>555</v>
      </c>
      <c r="G76" s="4" t="s">
        <v>556</v>
      </c>
      <c r="H76" s="7" t="s">
        <v>221</v>
      </c>
      <c r="I76" s="4"/>
      <c r="J76" s="4"/>
      <c r="K76" s="4"/>
    </row>
    <row r="77" spans="1:11" x14ac:dyDescent="0.25">
      <c r="A77" s="4" t="s">
        <v>326</v>
      </c>
      <c r="B77" s="4">
        <v>3</v>
      </c>
      <c r="C77" s="4">
        <v>1661025600</v>
      </c>
      <c r="D77" s="4">
        <v>1661030100</v>
      </c>
      <c r="E77" s="4"/>
      <c r="F77" s="4" t="s">
        <v>557</v>
      </c>
      <c r="G77" s="4" t="s">
        <v>558</v>
      </c>
      <c r="H77" s="7" t="s">
        <v>240</v>
      </c>
      <c r="I77" s="4"/>
      <c r="J77" s="4"/>
      <c r="K77" s="4"/>
    </row>
    <row r="78" spans="1:11" x14ac:dyDescent="0.25">
      <c r="A78" s="4" t="s">
        <v>164</v>
      </c>
      <c r="B78" s="4">
        <v>3</v>
      </c>
      <c r="C78" s="4">
        <v>1661026500</v>
      </c>
      <c r="D78" s="4">
        <v>1661031000</v>
      </c>
      <c r="E78" s="4"/>
      <c r="F78" s="4" t="s">
        <v>559</v>
      </c>
      <c r="G78" s="4" t="s">
        <v>560</v>
      </c>
      <c r="H78" s="7" t="s">
        <v>165</v>
      </c>
      <c r="I78" s="4"/>
      <c r="J78" s="4"/>
      <c r="K78" s="4"/>
    </row>
    <row r="79" spans="1:11" x14ac:dyDescent="0.25">
      <c r="A79" t="s">
        <v>336</v>
      </c>
      <c r="B79" s="4">
        <v>1</v>
      </c>
      <c r="C79" s="4">
        <v>1661032800</v>
      </c>
      <c r="D79" s="4">
        <v>1661038200</v>
      </c>
      <c r="F79" s="4" t="s">
        <v>555</v>
      </c>
      <c r="G79" s="4" t="s">
        <v>561</v>
      </c>
      <c r="H79" s="7" t="s">
        <v>85</v>
      </c>
    </row>
    <row r="80" spans="1:11" x14ac:dyDescent="0.25">
      <c r="A80" t="s">
        <v>104</v>
      </c>
      <c r="B80" s="4" t="s">
        <v>434</v>
      </c>
      <c r="C80" s="4">
        <v>1661090400</v>
      </c>
      <c r="D80" s="4">
        <v>1661094000</v>
      </c>
      <c r="F80" s="4" t="s">
        <v>562</v>
      </c>
      <c r="G80" s="4" t="s">
        <v>563</v>
      </c>
      <c r="H80" s="7" t="s">
        <v>105</v>
      </c>
    </row>
    <row r="81" spans="1:8" x14ac:dyDescent="0.25">
      <c r="A81" t="s">
        <v>295</v>
      </c>
      <c r="B81" s="4" t="s">
        <v>434</v>
      </c>
      <c r="C81" s="4">
        <v>1661100300</v>
      </c>
      <c r="D81" s="4">
        <v>1661103000</v>
      </c>
      <c r="F81" s="4" t="s">
        <v>564</v>
      </c>
      <c r="G81" s="4" t="s">
        <v>565</v>
      </c>
      <c r="H81" s="7" t="s">
        <v>117</v>
      </c>
    </row>
    <row r="82" spans="1:8" x14ac:dyDescent="0.25">
      <c r="A82" t="s">
        <v>317</v>
      </c>
      <c r="B82" s="4" t="s">
        <v>434</v>
      </c>
      <c r="C82" s="4">
        <v>1661105700</v>
      </c>
      <c r="D82" s="4">
        <v>1661109300</v>
      </c>
      <c r="F82" s="4" t="s">
        <v>566</v>
      </c>
      <c r="G82" s="4" t="s">
        <v>567</v>
      </c>
      <c r="H82" s="7" t="s">
        <v>213</v>
      </c>
    </row>
    <row r="83" spans="1:8" x14ac:dyDescent="0.25">
      <c r="A83" t="s">
        <v>344</v>
      </c>
      <c r="B83" s="4" t="s">
        <v>434</v>
      </c>
      <c r="C83" s="4">
        <v>1661112000</v>
      </c>
      <c r="D83" s="4">
        <v>1661117400</v>
      </c>
      <c r="F83" s="4" t="s">
        <v>568</v>
      </c>
      <c r="G83" s="4" t="s">
        <v>569</v>
      </c>
      <c r="H83" s="7" t="s">
        <v>204</v>
      </c>
    </row>
    <row r="84" spans="1:8" x14ac:dyDescent="0.25">
      <c r="A84" t="s">
        <v>318</v>
      </c>
      <c r="B84" s="4" t="s">
        <v>434</v>
      </c>
      <c r="C84" s="4">
        <v>1661112900</v>
      </c>
      <c r="D84" s="4">
        <v>1661117400</v>
      </c>
      <c r="F84" s="4" t="s">
        <v>570</v>
      </c>
      <c r="G84" s="4" t="s">
        <v>571</v>
      </c>
      <c r="H84" s="7" t="s">
        <v>34</v>
      </c>
    </row>
  </sheetData>
  <hyperlinks>
    <hyperlink ref="H2" r:id="rId1" xr:uid="{D52B254C-7BDA-4ADB-9FED-F789048E626A}"/>
    <hyperlink ref="H3" r:id="rId2" xr:uid="{07735DF0-5B30-4955-BA63-1B8F52BEA070}"/>
    <hyperlink ref="H4" r:id="rId3" xr:uid="{9F7386B2-FD6E-4903-94AB-CB86E7B327A8}"/>
    <hyperlink ref="H5" r:id="rId4" xr:uid="{A63F513A-DD3F-4275-82D9-57BCDA36EFB7}"/>
    <hyperlink ref="H6" r:id="rId5" xr:uid="{1E56937A-054F-4C61-AA67-9DDD91CE8707}"/>
    <hyperlink ref="H7" r:id="rId6" xr:uid="{D7C2C906-6126-489D-B39B-9C2051D3BBF9}"/>
    <hyperlink ref="H8" r:id="rId7" xr:uid="{B0B5F05E-1846-4397-8A3B-6398927A7FE5}"/>
    <hyperlink ref="H9" r:id="rId8" xr:uid="{7C3D9216-8B38-46FF-AB8F-0707D45414EB}"/>
    <hyperlink ref="H10" r:id="rId9" xr:uid="{2F2B189B-CDEC-41D7-8D4D-253A242F8A58}"/>
    <hyperlink ref="H11" r:id="rId10" xr:uid="{F5A47E05-BF7A-49E9-8E26-9480EDA02079}"/>
    <hyperlink ref="H12" r:id="rId11" xr:uid="{4861A0D9-0253-431C-A1D3-B74B315D22F6}"/>
    <hyperlink ref="H13" r:id="rId12" xr:uid="{41A310D8-78DE-4BAB-808F-2EFC145AF615}"/>
    <hyperlink ref="H14" r:id="rId13" xr:uid="{FA7B1A6D-EE99-4D12-8F41-7A6128FB65D0}"/>
    <hyperlink ref="H15" r:id="rId14" xr:uid="{26B0CD06-1C6D-4B05-8945-9B7552B60013}"/>
    <hyperlink ref="H16" r:id="rId15" xr:uid="{097A647D-B594-4636-84BF-366AEF2D456C}"/>
    <hyperlink ref="H17" r:id="rId16" xr:uid="{503150D8-A19F-4845-BD4B-6E3A3E4B585A}"/>
    <hyperlink ref="H18" r:id="rId17" xr:uid="{989ADFE5-B61D-40CA-B66C-94548C4A931A}"/>
    <hyperlink ref="H19" r:id="rId18" xr:uid="{33C6C700-3028-45F8-BFF2-C515109E8BAB}"/>
    <hyperlink ref="H20" r:id="rId19" xr:uid="{9701DBE9-6E36-4CBA-949E-F49A04B3B7A7}"/>
    <hyperlink ref="H21" r:id="rId20" xr:uid="{007B6A58-2129-4BC0-8429-BD537151F844}"/>
    <hyperlink ref="H22" r:id="rId21" xr:uid="{B114F50E-8561-42C2-8A16-9A460A5673D5}"/>
    <hyperlink ref="H23" r:id="rId22" xr:uid="{198BB1E4-B7A6-4859-8731-E23AD740D87A}"/>
    <hyperlink ref="H24" r:id="rId23" xr:uid="{85046254-9DC3-480A-8A73-4017FCF744C8}"/>
    <hyperlink ref="H25" r:id="rId24" xr:uid="{7D2374FF-3FC5-4B5C-B929-891A28F37BCF}"/>
    <hyperlink ref="H26" r:id="rId25" xr:uid="{060A69B5-81E8-4C55-88D9-6762ED8CEF49}"/>
    <hyperlink ref="H27" r:id="rId26" xr:uid="{F52CB951-4E63-4B87-906B-2912327B5FF4}"/>
    <hyperlink ref="H28" r:id="rId27" xr:uid="{0633AD7F-617A-437A-B46F-86ECEC6CD0A0}"/>
    <hyperlink ref="H31" r:id="rId28" xr:uid="{8F0A50CA-1F50-4185-AF45-F802ECFDDC72}"/>
    <hyperlink ref="H33" r:id="rId29" xr:uid="{F503BD77-B3AF-4FA2-B312-9745D6787051}"/>
    <hyperlink ref="H34" r:id="rId30" xr:uid="{6C763992-4708-4213-85A1-C1D760513773}"/>
    <hyperlink ref="H35" r:id="rId31" xr:uid="{C76F9D3E-7C16-4406-88A3-2326F746A603}"/>
    <hyperlink ref="H36" r:id="rId32" xr:uid="{AF6C6704-7257-4AF5-B32F-8C3CDDCB2AD8}"/>
    <hyperlink ref="H37" r:id="rId33" xr:uid="{30051881-C6A5-4874-B461-4B0A8D93FB84}"/>
    <hyperlink ref="H38" r:id="rId34" xr:uid="{E4855DF8-674B-41F5-9DE3-8243DAC56A11}"/>
    <hyperlink ref="H39" r:id="rId35" xr:uid="{C7897A4B-1D3F-40DA-B040-E723395030CB}"/>
    <hyperlink ref="H40" r:id="rId36" xr:uid="{5D931DD3-88D6-4379-A344-F36A1B7F986B}"/>
    <hyperlink ref="H41" r:id="rId37" xr:uid="{3A76CBC7-EFA2-4ED5-BCAF-C949EC38623B}"/>
    <hyperlink ref="H42" r:id="rId38" xr:uid="{5431D573-F27F-4361-BA54-DAE178C638C1}"/>
    <hyperlink ref="H44" r:id="rId39" xr:uid="{E005C865-816A-4D95-9C89-38E234C056CF}"/>
    <hyperlink ref="H45" r:id="rId40" xr:uid="{58F8147D-F378-4DA9-8851-C8C16F6CDB84}"/>
    <hyperlink ref="H46" r:id="rId41" xr:uid="{C692199D-9C71-4490-B43F-FF3902C0E157}"/>
    <hyperlink ref="H47" r:id="rId42" xr:uid="{A12CAAF3-49A6-40EA-B428-AEF6C596EE2D}"/>
    <hyperlink ref="H48" r:id="rId43" xr:uid="{5D85C99A-1665-4ABF-B624-E983EF75BD56}"/>
    <hyperlink ref="H49" r:id="rId44" xr:uid="{5BF9A4D3-A73E-47F4-8405-82FFDBFDD7F0}"/>
    <hyperlink ref="H50" r:id="rId45" xr:uid="{C5450D43-2D73-4323-B72D-960E31167A70}"/>
    <hyperlink ref="H51" r:id="rId46" xr:uid="{F2C1E378-8622-4C36-BA9B-84DB26B5D4EB}"/>
    <hyperlink ref="H52" r:id="rId47" xr:uid="{03D25F2E-274F-4BB1-9BEB-3DEF5A84646C}"/>
    <hyperlink ref="H53" r:id="rId48" xr:uid="{E8983070-FE07-4296-A81B-543077C303A6}"/>
    <hyperlink ref="H54" r:id="rId49" xr:uid="{1BD1575C-EED0-4E11-86EE-D7B3FB39E34A}"/>
    <hyperlink ref="H55" r:id="rId50" xr:uid="{2DF23F70-0099-406C-B1E0-6C2A24E95B5D}"/>
    <hyperlink ref="H56" r:id="rId51" xr:uid="{37693A0F-DECF-457F-92C7-4343FFF909FD}"/>
    <hyperlink ref="H57" r:id="rId52" xr:uid="{CEE1CD7C-6E96-4AF2-BD43-CF0A435FD94C}"/>
    <hyperlink ref="H58" r:id="rId53" xr:uid="{EED0F78C-7948-42DB-A715-5343F463CC1F}"/>
    <hyperlink ref="H59" r:id="rId54" xr:uid="{E9C5881E-D40F-4D10-93A5-679F97E16E65}"/>
    <hyperlink ref="H60" r:id="rId55" xr:uid="{354D1573-0DAE-4CB1-A66B-9A498BFA3FC1}"/>
    <hyperlink ref="H61" r:id="rId56" xr:uid="{7D5910C2-E52F-421B-9048-C40363BBE49D}"/>
    <hyperlink ref="H63" r:id="rId57" xr:uid="{053F1039-C96A-44E6-8D3C-D503702733E2}"/>
    <hyperlink ref="H64" r:id="rId58" xr:uid="{ED087AFF-C96F-4D3B-94FA-AF6A4DB48995}"/>
    <hyperlink ref="H65" r:id="rId59" xr:uid="{65AB92F8-BE13-4DC4-BD01-1DEC961C1494}"/>
    <hyperlink ref="H66" r:id="rId60" xr:uid="{259C5A40-B3CF-4EC7-88D2-05FD3D1A34AD}"/>
    <hyperlink ref="H67" r:id="rId61" xr:uid="{F9F2AB7E-35C3-42D1-9077-4BB919C51B39}"/>
    <hyperlink ref="H68" r:id="rId62" xr:uid="{753C60AB-BCD6-4A1F-AAAA-21372BCF8947}"/>
    <hyperlink ref="H69" r:id="rId63" xr:uid="{BC926913-6D1A-4BDF-8468-9274673134F2}"/>
    <hyperlink ref="H70" r:id="rId64" xr:uid="{1E02AF64-E424-4A5B-8AC0-6749A0FA1AC7}"/>
    <hyperlink ref="H71" r:id="rId65" xr:uid="{5EBDCC61-7E56-4CD9-A907-B85E334FF230}"/>
    <hyperlink ref="H72" r:id="rId66" xr:uid="{4AC03C25-C488-441F-A7F0-56DA73BA68F7}"/>
    <hyperlink ref="H73" r:id="rId67" xr:uid="{F460D8F9-EDCF-42FC-8992-47D398DDEAF5}"/>
    <hyperlink ref="H74" r:id="rId68" xr:uid="{0F580EEB-4279-4A8F-8904-99688A338DB1}"/>
    <hyperlink ref="H75" r:id="rId69" xr:uid="{3B3D3707-3153-491D-A8A1-CFE045B00F82}"/>
    <hyperlink ref="H76" r:id="rId70" xr:uid="{84DDEF58-A72D-48C3-B814-25805D59E27E}"/>
    <hyperlink ref="H77" r:id="rId71" xr:uid="{39271A44-9761-4095-A291-A10101640EA4}"/>
    <hyperlink ref="H78" r:id="rId72" xr:uid="{1672A21A-3F0F-4C24-B0AF-8A6506ED87E9}"/>
    <hyperlink ref="H79" r:id="rId73" xr:uid="{6B424593-4965-42D8-8ACB-BC8D3EF0E194}"/>
    <hyperlink ref="H80" r:id="rId74" xr:uid="{C487F785-6B9E-4AC5-B179-BF9C6F324F4E}"/>
    <hyperlink ref="H81" r:id="rId75" xr:uid="{D82604D8-2034-467B-98AF-86542763FB24}"/>
    <hyperlink ref="H82" r:id="rId76" xr:uid="{01452E1D-94F5-46D5-A507-A2B2A971B84B}"/>
    <hyperlink ref="H83" r:id="rId77" xr:uid="{6377AEB4-7C64-4ED1-A922-3592ACF330D3}"/>
    <hyperlink ref="H84" r:id="rId78" xr:uid="{8FD1D53B-09B9-4EB5-90B8-675AAA80F54E}"/>
  </hyperlink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K84"/>
  <sheetViews>
    <sheetView workbookViewId="0">
      <selection activeCell="K85" sqref="K85"/>
    </sheetView>
  </sheetViews>
  <sheetFormatPr baseColWidth="10" defaultRowHeight="15" x14ac:dyDescent="0.25"/>
  <cols>
    <col min="3" max="3" width="32.42578125" bestFit="1" customWidth="1"/>
    <col min="6" max="6" width="31.140625" bestFit="1" customWidth="1"/>
    <col min="8" max="8" width="15.140625" bestFit="1" customWidth="1"/>
    <col min="9" max="9" width="17.5703125" customWidth="1"/>
  </cols>
  <sheetData>
    <row r="1" spans="1:11" x14ac:dyDescent="0.25">
      <c r="A1" s="4" t="s">
        <v>45</v>
      </c>
      <c r="B1" s="4" t="s">
        <v>46</v>
      </c>
      <c r="C1" s="4" t="s">
        <v>1</v>
      </c>
      <c r="D1" s="4" t="s">
        <v>7</v>
      </c>
      <c r="E1" s="4" t="s">
        <v>47</v>
      </c>
      <c r="F1" s="4" t="s">
        <v>3</v>
      </c>
      <c r="G1" s="4" t="s">
        <v>2</v>
      </c>
      <c r="H1" s="4" t="s">
        <v>350</v>
      </c>
      <c r="I1" s="4" t="s">
        <v>4</v>
      </c>
    </row>
    <row r="2" spans="1:11" x14ac:dyDescent="0.25">
      <c r="A2" s="4" t="s">
        <v>180</v>
      </c>
      <c r="B2" s="4" t="s">
        <v>49</v>
      </c>
      <c r="C2" s="4" t="s">
        <v>181</v>
      </c>
      <c r="D2" s="4" t="s">
        <v>181</v>
      </c>
      <c r="E2" s="4" t="s">
        <v>9</v>
      </c>
      <c r="F2" s="4" t="s">
        <v>394</v>
      </c>
      <c r="G2" s="4" t="s">
        <v>64</v>
      </c>
      <c r="H2" s="5" t="str">
        <f>RIGHT(F2,16)</f>
        <v>10.08.2022 18:30</v>
      </c>
      <c r="I2" s="6">
        <f>H2+J2</f>
        <v>44783.8125</v>
      </c>
      <c r="J2">
        <f>K2/60/24</f>
        <v>4.1666666666666664E-2</v>
      </c>
      <c r="K2">
        <v>60</v>
      </c>
    </row>
    <row r="3" spans="1:11" x14ac:dyDescent="0.25">
      <c r="A3" s="4" t="s">
        <v>160</v>
      </c>
      <c r="B3" s="4" t="s">
        <v>49</v>
      </c>
      <c r="C3" s="4" t="s">
        <v>161</v>
      </c>
      <c r="D3" s="4" t="s">
        <v>161</v>
      </c>
      <c r="E3" s="4" t="s">
        <v>162</v>
      </c>
      <c r="F3" s="4" t="s">
        <v>387</v>
      </c>
      <c r="G3" s="4" t="s">
        <v>56</v>
      </c>
      <c r="H3" s="5" t="str">
        <f>RIGHT(F3,16)</f>
        <v>10.08.2022 19:30</v>
      </c>
      <c r="I3" s="6">
        <f>H3+J3</f>
        <v>44783.822916666664</v>
      </c>
      <c r="J3">
        <f>K3/60/24</f>
        <v>1.0416666666666666E-2</v>
      </c>
      <c r="K3">
        <v>15</v>
      </c>
    </row>
    <row r="4" spans="1:11" x14ac:dyDescent="0.25">
      <c r="A4" s="4" t="s">
        <v>190</v>
      </c>
      <c r="B4" s="4" t="s">
        <v>49</v>
      </c>
      <c r="C4" s="4" t="s">
        <v>191</v>
      </c>
      <c r="D4" s="4" t="s">
        <v>191</v>
      </c>
      <c r="E4" s="4" t="s">
        <v>192</v>
      </c>
      <c r="F4" s="4" t="s">
        <v>397</v>
      </c>
      <c r="G4" s="4" t="s">
        <v>64</v>
      </c>
      <c r="H4" s="5" t="str">
        <f>RIGHT(F4,16)</f>
        <v>10.08.2022 20:15</v>
      </c>
      <c r="I4" s="6">
        <f>H4+J4</f>
        <v>44783.90625</v>
      </c>
      <c r="J4">
        <f>K4/60/24</f>
        <v>6.25E-2</v>
      </c>
      <c r="K4">
        <v>90</v>
      </c>
    </row>
    <row r="5" spans="1:11" x14ac:dyDescent="0.25">
      <c r="A5" s="4" t="s">
        <v>89</v>
      </c>
      <c r="B5" s="4" t="s">
        <v>49</v>
      </c>
      <c r="C5" s="4" t="s">
        <v>90</v>
      </c>
      <c r="D5" s="4" t="s">
        <v>90</v>
      </c>
      <c r="E5" s="4" t="s">
        <v>91</v>
      </c>
      <c r="F5" s="4" t="s">
        <v>363</v>
      </c>
      <c r="G5" s="4" t="s">
        <v>52</v>
      </c>
      <c r="H5" s="5" t="str">
        <f>RIGHT(F5,16)</f>
        <v>10.08.2022 20:30</v>
      </c>
      <c r="I5" s="6">
        <f>H5+J5</f>
        <v>44783.90625</v>
      </c>
      <c r="J5">
        <f>K5/60/24</f>
        <v>5.2083333333333336E-2</v>
      </c>
      <c r="K5">
        <v>75</v>
      </c>
    </row>
    <row r="6" spans="1:11" x14ac:dyDescent="0.25">
      <c r="A6" s="4" t="s">
        <v>74</v>
      </c>
      <c r="B6" s="4" t="s">
        <v>49</v>
      </c>
      <c r="C6" s="4" t="s">
        <v>75</v>
      </c>
      <c r="D6" s="4" t="s">
        <v>75</v>
      </c>
      <c r="E6" s="4" t="s">
        <v>76</v>
      </c>
      <c r="F6" s="4" t="s">
        <v>358</v>
      </c>
      <c r="G6" s="4" t="s">
        <v>64</v>
      </c>
      <c r="H6" s="5" t="str">
        <f>RIGHT(F6,16)</f>
        <v>11.08.2022 18:30</v>
      </c>
      <c r="I6" s="6">
        <f>H6+J6</f>
        <v>44784.802083333336</v>
      </c>
      <c r="J6">
        <f>K6/60/24</f>
        <v>3.125E-2</v>
      </c>
      <c r="K6">
        <v>45</v>
      </c>
    </row>
    <row r="7" spans="1:11" x14ac:dyDescent="0.25">
      <c r="A7" s="4" t="s">
        <v>109</v>
      </c>
      <c r="B7" s="4" t="s">
        <v>49</v>
      </c>
      <c r="C7" s="4" t="s">
        <v>110</v>
      </c>
      <c r="D7" s="4" t="s">
        <v>110</v>
      </c>
      <c r="E7" s="4" t="s">
        <v>111</v>
      </c>
      <c r="F7" s="4" t="s">
        <v>369</v>
      </c>
      <c r="G7" s="4" t="s">
        <v>56</v>
      </c>
      <c r="H7" s="5" t="str">
        <f>RIGHT(F7,16)</f>
        <v>11.08.2022 19:15</v>
      </c>
      <c r="I7" s="6">
        <f>H7+J7</f>
        <v>44784.8125</v>
      </c>
      <c r="J7">
        <f>K7/60/24</f>
        <v>1.0416666666666666E-2</v>
      </c>
      <c r="K7">
        <v>15</v>
      </c>
    </row>
    <row r="8" spans="1:11" x14ac:dyDescent="0.25">
      <c r="A8" s="4" t="s">
        <v>231</v>
      </c>
      <c r="B8" s="4" t="s">
        <v>49</v>
      </c>
      <c r="C8" s="4" t="s">
        <v>232</v>
      </c>
      <c r="D8" s="4" t="s">
        <v>232</v>
      </c>
      <c r="E8" s="4" t="s">
        <v>233</v>
      </c>
      <c r="F8" s="4" t="s">
        <v>410</v>
      </c>
      <c r="G8" s="4" t="s">
        <v>64</v>
      </c>
      <c r="H8" s="5" t="str">
        <f>RIGHT(F8,16)</f>
        <v>11.08.2022 20:00</v>
      </c>
      <c r="I8" s="6">
        <f>H8+J8</f>
        <v>44784.864583333336</v>
      </c>
      <c r="J8">
        <f>K8/60/24</f>
        <v>3.125E-2</v>
      </c>
      <c r="K8">
        <v>45</v>
      </c>
    </row>
    <row r="9" spans="1:11" x14ac:dyDescent="0.25">
      <c r="A9" s="4" t="s">
        <v>155</v>
      </c>
      <c r="B9" s="4" t="s">
        <v>49</v>
      </c>
      <c r="C9" s="4" t="s">
        <v>156</v>
      </c>
      <c r="D9" s="4" t="s">
        <v>156</v>
      </c>
      <c r="E9" s="4" t="s">
        <v>157</v>
      </c>
      <c r="F9" s="4" t="s">
        <v>385</v>
      </c>
      <c r="G9" s="4" t="s">
        <v>52</v>
      </c>
      <c r="H9" s="5" t="str">
        <f>RIGHT(F9,16)</f>
        <v>11.08.2022 20:30</v>
      </c>
      <c r="I9" s="6">
        <f>H9+J9</f>
        <v>44784.90625</v>
      </c>
      <c r="J9">
        <f>K9/60/24</f>
        <v>5.2083333333333336E-2</v>
      </c>
      <c r="K9">
        <v>75</v>
      </c>
    </row>
    <row r="10" spans="1:11" x14ac:dyDescent="0.25">
      <c r="A10" s="4" t="s">
        <v>184</v>
      </c>
      <c r="B10" s="4" t="s">
        <v>49</v>
      </c>
      <c r="C10" s="4" t="s">
        <v>185</v>
      </c>
      <c r="D10" s="4" t="s">
        <v>185</v>
      </c>
      <c r="E10" s="4" t="s">
        <v>186</v>
      </c>
      <c r="F10" s="4" t="s">
        <v>395</v>
      </c>
      <c r="G10" s="4" t="s">
        <v>64</v>
      </c>
      <c r="H10" s="5" t="str">
        <f>RIGHT(F10,16)</f>
        <v>11.08.2022 21:30</v>
      </c>
      <c r="I10" s="6">
        <f>H10+J10</f>
        <v>44784.947916666672</v>
      </c>
      <c r="J10">
        <f>K10/60/24</f>
        <v>5.2083333333333336E-2</v>
      </c>
      <c r="K10">
        <v>75</v>
      </c>
    </row>
    <row r="11" spans="1:11" x14ac:dyDescent="0.25">
      <c r="A11" s="4" t="s">
        <v>123</v>
      </c>
      <c r="B11" s="4" t="s">
        <v>49</v>
      </c>
      <c r="C11" s="4" t="s">
        <v>124</v>
      </c>
      <c r="D11" s="4" t="s">
        <v>124</v>
      </c>
      <c r="E11" s="4" t="s">
        <v>125</v>
      </c>
      <c r="F11" s="4" t="s">
        <v>374</v>
      </c>
      <c r="G11" s="4" t="s">
        <v>98</v>
      </c>
      <c r="H11" s="5" t="str">
        <f>RIGHT(F11,16)</f>
        <v>12.08.2022 11:45</v>
      </c>
      <c r="I11" s="6">
        <f>H11+J11</f>
        <v>44785.53125</v>
      </c>
      <c r="J11">
        <f>K11/60/24</f>
        <v>4.1666666666666664E-2</v>
      </c>
      <c r="K11">
        <v>60</v>
      </c>
    </row>
    <row r="12" spans="1:11" x14ac:dyDescent="0.25">
      <c r="A12" s="4" t="s">
        <v>146</v>
      </c>
      <c r="B12" s="4" t="s">
        <v>49</v>
      </c>
      <c r="C12" s="4" t="s">
        <v>147</v>
      </c>
      <c r="D12" s="4" t="s">
        <v>147</v>
      </c>
      <c r="E12" s="4" t="s">
        <v>148</v>
      </c>
      <c r="F12" s="4" t="s">
        <v>382</v>
      </c>
      <c r="G12" s="4" t="s">
        <v>64</v>
      </c>
      <c r="H12" s="5" t="str">
        <f>RIGHT(F12,16)</f>
        <v>12.08.2022 18:30</v>
      </c>
      <c r="I12" s="6">
        <f>H12+J12</f>
        <v>44785.802083333336</v>
      </c>
      <c r="J12">
        <f>K12/60/24</f>
        <v>3.125E-2</v>
      </c>
      <c r="K12">
        <v>45</v>
      </c>
    </row>
    <row r="13" spans="1:11" x14ac:dyDescent="0.25">
      <c r="A13" s="4" t="s">
        <v>216</v>
      </c>
      <c r="B13" s="4" t="s">
        <v>49</v>
      </c>
      <c r="C13" s="4" t="s">
        <v>217</v>
      </c>
      <c r="D13" s="4" t="s">
        <v>217</v>
      </c>
      <c r="E13" s="4" t="s">
        <v>218</v>
      </c>
      <c r="F13" s="4" t="s">
        <v>406</v>
      </c>
      <c r="G13" s="4" t="s">
        <v>56</v>
      </c>
      <c r="H13" s="5" t="str">
        <f>RIGHT(F13,16)</f>
        <v>12.08.2022 19:15</v>
      </c>
      <c r="I13" s="6">
        <f>H13+J13</f>
        <v>44785.8125</v>
      </c>
      <c r="J13">
        <f>K13/60/24</f>
        <v>1.0416666666666666E-2</v>
      </c>
      <c r="K13">
        <v>15</v>
      </c>
    </row>
    <row r="14" spans="1:11" x14ac:dyDescent="0.25">
      <c r="A14" s="4" t="s">
        <v>174</v>
      </c>
      <c r="B14" s="4" t="s">
        <v>49</v>
      </c>
      <c r="C14" s="4" t="s">
        <v>175</v>
      </c>
      <c r="D14" s="4" t="s">
        <v>175</v>
      </c>
      <c r="E14" s="4" t="s">
        <v>176</v>
      </c>
      <c r="F14" s="4" t="s">
        <v>392</v>
      </c>
      <c r="G14" s="4" t="s">
        <v>64</v>
      </c>
      <c r="H14" s="5" t="str">
        <f>RIGHT(F14,16)</f>
        <v>12.08.2022 20:00</v>
      </c>
      <c r="I14" s="6">
        <f>H14+J14</f>
        <v>44785.864583333336</v>
      </c>
      <c r="J14">
        <f>K14/60/24</f>
        <v>3.125E-2</v>
      </c>
      <c r="K14">
        <v>45</v>
      </c>
    </row>
    <row r="15" spans="1:11" x14ac:dyDescent="0.25">
      <c r="A15" s="4" t="s">
        <v>228</v>
      </c>
      <c r="B15" s="4" t="s">
        <v>49</v>
      </c>
      <c r="C15" s="4" t="s">
        <v>229</v>
      </c>
      <c r="D15" s="4" t="s">
        <v>229</v>
      </c>
      <c r="E15" s="4" t="s">
        <v>230</v>
      </c>
      <c r="F15" s="4" t="s">
        <v>409</v>
      </c>
      <c r="G15" s="4" t="s">
        <v>102</v>
      </c>
      <c r="H15" s="5" t="str">
        <f>RIGHT(F15,16)</f>
        <v>12.08.2022 20:15</v>
      </c>
      <c r="I15" s="6">
        <f t="shared" ref="I15:I16" si="0">H15+J15</f>
        <v>44785.895833333336</v>
      </c>
      <c r="J15">
        <f t="shared" ref="J15:J16" si="1">K15/60/24</f>
        <v>5.2083333333333336E-2</v>
      </c>
      <c r="K15">
        <v>75</v>
      </c>
    </row>
    <row r="16" spans="1:11" x14ac:dyDescent="0.25">
      <c r="A16" s="4" t="s">
        <v>65</v>
      </c>
      <c r="B16" s="4" t="s">
        <v>49</v>
      </c>
      <c r="C16" s="4" t="s">
        <v>66</v>
      </c>
      <c r="D16" s="4" t="s">
        <v>66</v>
      </c>
      <c r="E16" s="4" t="s">
        <v>67</v>
      </c>
      <c r="F16" s="4" t="s">
        <v>355</v>
      </c>
      <c r="G16" s="4" t="s">
        <v>52</v>
      </c>
      <c r="H16" s="5" t="str">
        <f>RIGHT(F16,16)</f>
        <v>12.08.2022 20:30</v>
      </c>
      <c r="I16" s="6">
        <f t="shared" si="0"/>
        <v>44785.90625</v>
      </c>
      <c r="J16">
        <f t="shared" si="1"/>
        <v>5.2083333333333336E-2</v>
      </c>
      <c r="K16">
        <v>75</v>
      </c>
    </row>
    <row r="17" spans="1:11" x14ac:dyDescent="0.25">
      <c r="A17" s="4" t="s">
        <v>92</v>
      </c>
      <c r="B17" s="4" t="s">
        <v>49</v>
      </c>
      <c r="C17" s="4" t="s">
        <v>93</v>
      </c>
      <c r="D17" s="4" t="s">
        <v>93</v>
      </c>
      <c r="E17" s="4" t="s">
        <v>94</v>
      </c>
      <c r="F17" s="4" t="s">
        <v>364</v>
      </c>
      <c r="G17" s="4" t="s">
        <v>64</v>
      </c>
      <c r="H17" s="5" t="str">
        <f>RIGHT(F17,16)</f>
        <v>12.08.2022 21:15</v>
      </c>
      <c r="I17" s="6">
        <f t="shared" ref="I17:I18" si="2">H17+J17</f>
        <v>44785.927083333328</v>
      </c>
      <c r="J17">
        <f t="shared" ref="J17:J18" si="3">K17/60/24</f>
        <v>4.1666666666666664E-2</v>
      </c>
      <c r="K17">
        <v>60</v>
      </c>
    </row>
    <row r="18" spans="1:11" x14ac:dyDescent="0.25">
      <c r="A18" s="4" t="s">
        <v>86</v>
      </c>
      <c r="B18" s="4" t="s">
        <v>49</v>
      </c>
      <c r="C18" s="4" t="s">
        <v>87</v>
      </c>
      <c r="D18" s="4" t="s">
        <v>87</v>
      </c>
      <c r="E18" s="4" t="s">
        <v>88</v>
      </c>
      <c r="F18" s="4" t="s">
        <v>362</v>
      </c>
      <c r="G18" s="4" t="s">
        <v>64</v>
      </c>
      <c r="H18" s="5" t="str">
        <f>RIGHT(F18,16)</f>
        <v>12.08.2022 23:00</v>
      </c>
      <c r="I18" s="6">
        <f t="shared" si="2"/>
        <v>44785.993055555555</v>
      </c>
      <c r="J18">
        <f t="shared" si="3"/>
        <v>3.4722222222222224E-2</v>
      </c>
      <c r="K18">
        <v>50</v>
      </c>
    </row>
    <row r="19" spans="1:11" x14ac:dyDescent="0.25">
      <c r="A19" s="4" t="s">
        <v>143</v>
      </c>
      <c r="B19" s="4" t="s">
        <v>49</v>
      </c>
      <c r="C19" s="4" t="s">
        <v>144</v>
      </c>
      <c r="D19" s="4" t="s">
        <v>144</v>
      </c>
      <c r="E19" s="4" t="s">
        <v>145</v>
      </c>
      <c r="F19" s="4" t="s">
        <v>381</v>
      </c>
      <c r="G19" s="4" t="s">
        <v>52</v>
      </c>
      <c r="H19" s="5" t="str">
        <f>RIGHT(F19,16)</f>
        <v>13.08.2022 14:00</v>
      </c>
      <c r="I19" s="6">
        <f>H19+J19</f>
        <v>44786.78125</v>
      </c>
      <c r="J19">
        <f>K19/60/24</f>
        <v>0.19791666666666666</v>
      </c>
      <c r="K19">
        <v>285</v>
      </c>
    </row>
    <row r="20" spans="1:11" x14ac:dyDescent="0.25">
      <c r="A20" s="4" t="s">
        <v>61</v>
      </c>
      <c r="B20" s="4" t="s">
        <v>49</v>
      </c>
      <c r="C20" s="4" t="s">
        <v>62</v>
      </c>
      <c r="D20" s="4" t="s">
        <v>62</v>
      </c>
      <c r="E20" s="4" t="s">
        <v>63</v>
      </c>
      <c r="F20" s="4" t="s">
        <v>354</v>
      </c>
      <c r="G20" s="4" t="s">
        <v>64</v>
      </c>
      <c r="H20" s="5" t="str">
        <f>RIGHT(F20,16)</f>
        <v>13.08.2022 18:00</v>
      </c>
      <c r="I20" s="6">
        <f t="shared" ref="I20:I24" si="4">H20+J20</f>
        <v>44786.777777777781</v>
      </c>
      <c r="J20">
        <f t="shared" ref="J20:J24" si="5">K20/60/24</f>
        <v>2.7777777777777776E-2</v>
      </c>
      <c r="K20">
        <v>40</v>
      </c>
    </row>
    <row r="21" spans="1:11" x14ac:dyDescent="0.25">
      <c r="A21" s="4" t="s">
        <v>152</v>
      </c>
      <c r="B21" s="4" t="s">
        <v>49</v>
      </c>
      <c r="C21" s="4" t="s">
        <v>153</v>
      </c>
      <c r="D21" s="4" t="s">
        <v>153</v>
      </c>
      <c r="E21" s="4" t="s">
        <v>154</v>
      </c>
      <c r="F21" s="4" t="s">
        <v>384</v>
      </c>
      <c r="G21" s="4" t="s">
        <v>64</v>
      </c>
      <c r="H21" s="5" t="str">
        <f>RIGHT(F21,16)</f>
        <v>13.08.2022 19:10</v>
      </c>
      <c r="I21" s="6">
        <f t="shared" si="4"/>
        <v>44786.826388888891</v>
      </c>
      <c r="J21">
        <f t="shared" si="5"/>
        <v>2.7777777777777776E-2</v>
      </c>
      <c r="K21">
        <v>40</v>
      </c>
    </row>
    <row r="22" spans="1:11" x14ac:dyDescent="0.25">
      <c r="A22" s="4" t="s">
        <v>268</v>
      </c>
      <c r="B22" s="4" t="s">
        <v>49</v>
      </c>
      <c r="C22" s="4" t="s">
        <v>269</v>
      </c>
      <c r="D22" s="4" t="s">
        <v>269</v>
      </c>
      <c r="E22" s="4" t="s">
        <v>270</v>
      </c>
      <c r="F22" s="4" t="s">
        <v>420</v>
      </c>
      <c r="G22" s="4" t="s">
        <v>52</v>
      </c>
      <c r="H22" s="5" t="str">
        <f>RIGHT(F22,16)</f>
        <v>13.08.2022 19:30</v>
      </c>
      <c r="I22" s="6">
        <f t="shared" si="4"/>
        <v>44786.840277777781</v>
      </c>
      <c r="J22">
        <f t="shared" si="5"/>
        <v>2.7777777777777776E-2</v>
      </c>
      <c r="K22">
        <v>40</v>
      </c>
    </row>
    <row r="23" spans="1:11" x14ac:dyDescent="0.25">
      <c r="A23" s="4" t="s">
        <v>182</v>
      </c>
      <c r="B23" s="4" t="s">
        <v>49</v>
      </c>
      <c r="C23" s="4" t="s">
        <v>183</v>
      </c>
      <c r="D23" s="4" t="s">
        <v>183</v>
      </c>
      <c r="E23" s="4" t="s">
        <v>42</v>
      </c>
      <c r="F23" s="4" t="s">
        <v>433</v>
      </c>
      <c r="G23" s="4" t="s">
        <v>56</v>
      </c>
      <c r="H23" s="5" t="str">
        <f>RIGHT(F23,16)</f>
        <v>13.08.2022 19:50</v>
      </c>
      <c r="I23" s="6">
        <f t="shared" si="4"/>
        <v>44786.836805555555</v>
      </c>
      <c r="J23">
        <f t="shared" si="5"/>
        <v>1.0416666666666666E-2</v>
      </c>
      <c r="K23">
        <v>15</v>
      </c>
    </row>
    <row r="24" spans="1:11" x14ac:dyDescent="0.25">
      <c r="A24" s="4" t="s">
        <v>99</v>
      </c>
      <c r="B24" s="4" t="s">
        <v>49</v>
      </c>
      <c r="C24" s="4" t="s">
        <v>100</v>
      </c>
      <c r="D24" s="4" t="s">
        <v>100</v>
      </c>
      <c r="E24" s="4" t="s">
        <v>101</v>
      </c>
      <c r="F24" s="4" t="s">
        <v>366</v>
      </c>
      <c r="G24" s="4" t="s">
        <v>102</v>
      </c>
      <c r="H24" s="5" t="str">
        <f>RIGHT(F24,16)</f>
        <v>13.08.2022 20:15</v>
      </c>
      <c r="I24" s="6">
        <f t="shared" si="4"/>
        <v>44786.885416666664</v>
      </c>
      <c r="J24">
        <f t="shared" si="5"/>
        <v>4.1666666666666664E-2</v>
      </c>
      <c r="K24">
        <v>60</v>
      </c>
    </row>
    <row r="25" spans="1:11" x14ac:dyDescent="0.25">
      <c r="A25" s="4" t="s">
        <v>106</v>
      </c>
      <c r="B25" s="4" t="s">
        <v>49</v>
      </c>
      <c r="C25" s="4" t="s">
        <v>107</v>
      </c>
      <c r="D25" s="4" t="s">
        <v>107</v>
      </c>
      <c r="E25" s="4" t="s">
        <v>108</v>
      </c>
      <c r="F25" s="4" t="s">
        <v>368</v>
      </c>
      <c r="G25" s="4" t="s">
        <v>64</v>
      </c>
      <c r="H25" s="5" t="str">
        <f>RIGHT(F25,16)</f>
        <v>13.08.2022 20:30</v>
      </c>
      <c r="I25" s="6">
        <f>H25+J25</f>
        <v>44786.885416666664</v>
      </c>
      <c r="J25">
        <f>K25/60/24</f>
        <v>3.125E-2</v>
      </c>
      <c r="K25">
        <v>45</v>
      </c>
    </row>
    <row r="26" spans="1:11" x14ac:dyDescent="0.25">
      <c r="A26" s="4" t="s">
        <v>236</v>
      </c>
      <c r="B26" s="4" t="s">
        <v>49</v>
      </c>
      <c r="C26" s="4" t="s">
        <v>237</v>
      </c>
      <c r="D26" s="4" t="s">
        <v>237</v>
      </c>
      <c r="E26" s="4" t="s">
        <v>28</v>
      </c>
      <c r="F26" s="4" t="s">
        <v>411</v>
      </c>
      <c r="G26" s="4" t="s">
        <v>52</v>
      </c>
      <c r="H26" s="5" t="str">
        <f>RIGHT(F26,16)</f>
        <v>13.08.2022 20:45</v>
      </c>
      <c r="I26" s="6">
        <f>H26+J26</f>
        <v>44786.90625</v>
      </c>
      <c r="J26">
        <f>K26/60/24</f>
        <v>4.1666666666666664E-2</v>
      </c>
      <c r="K26">
        <v>60</v>
      </c>
    </row>
    <row r="27" spans="1:11" x14ac:dyDescent="0.25">
      <c r="A27" s="4" t="s">
        <v>80</v>
      </c>
      <c r="B27" s="4" t="s">
        <v>49</v>
      </c>
      <c r="C27" s="4" t="s">
        <v>81</v>
      </c>
      <c r="D27" s="4" t="s">
        <v>81</v>
      </c>
      <c r="E27" s="4" t="s">
        <v>82</v>
      </c>
      <c r="F27" s="4" t="s">
        <v>360</v>
      </c>
      <c r="G27" s="4" t="s">
        <v>64</v>
      </c>
      <c r="H27" s="5" t="str">
        <f>RIGHT(F27,16)</f>
        <v>13.08.2022 21:45</v>
      </c>
      <c r="I27" s="6">
        <f t="shared" ref="I27:I33" si="6">H27+J27</f>
        <v>44786.940972222219</v>
      </c>
      <c r="J27">
        <f t="shared" ref="J27:J33" si="7">K27/60/24</f>
        <v>3.4722222222222224E-2</v>
      </c>
      <c r="K27">
        <v>50</v>
      </c>
    </row>
    <row r="28" spans="1:11" x14ac:dyDescent="0.25">
      <c r="A28" s="4" t="s">
        <v>250</v>
      </c>
      <c r="B28" s="4" t="s">
        <v>49</v>
      </c>
      <c r="C28" s="4" t="s">
        <v>251</v>
      </c>
      <c r="D28" s="4" t="s">
        <v>251</v>
      </c>
      <c r="E28" s="4" t="s">
        <v>252</v>
      </c>
      <c r="F28" s="4" t="s">
        <v>416</v>
      </c>
      <c r="G28" s="4" t="s">
        <v>64</v>
      </c>
      <c r="H28" s="5" t="str">
        <f>RIGHT(F28,16)</f>
        <v>13.08.2022 23:00</v>
      </c>
      <c r="I28" s="6">
        <f t="shared" si="6"/>
        <v>44786.996527777781</v>
      </c>
      <c r="J28">
        <f t="shared" si="7"/>
        <v>3.8194444444444441E-2</v>
      </c>
      <c r="K28">
        <v>55</v>
      </c>
    </row>
    <row r="29" spans="1:11" x14ac:dyDescent="0.25">
      <c r="A29" s="4" t="s">
        <v>225</v>
      </c>
      <c r="B29" s="4" t="s">
        <v>49</v>
      </c>
      <c r="C29" s="4" t="s">
        <v>427</v>
      </c>
      <c r="D29" s="4"/>
      <c r="E29" s="4"/>
      <c r="F29" s="4" t="s">
        <v>428</v>
      </c>
      <c r="G29" s="4" t="s">
        <v>52</v>
      </c>
      <c r="H29" s="5" t="str">
        <f>RIGHT(F29,16)</f>
        <v>14.08.2022 14:00</v>
      </c>
      <c r="I29" s="6">
        <f>H29+J29</f>
        <v>44787.708333333336</v>
      </c>
      <c r="J29">
        <f>K29/60/24</f>
        <v>0.125</v>
      </c>
      <c r="K29">
        <v>180</v>
      </c>
    </row>
    <row r="30" spans="1:11" x14ac:dyDescent="0.25">
      <c r="A30" s="4" t="s">
        <v>225</v>
      </c>
      <c r="B30" s="4" t="s">
        <v>49</v>
      </c>
      <c r="C30" s="4" t="s">
        <v>429</v>
      </c>
      <c r="D30" s="4"/>
      <c r="E30" s="4"/>
      <c r="F30" s="4" t="s">
        <v>428</v>
      </c>
      <c r="G30" s="4" t="s">
        <v>52</v>
      </c>
      <c r="H30" s="5" t="str">
        <f>RIGHT(F30,16)</f>
        <v>14.08.2022 14:00</v>
      </c>
      <c r="I30" s="6">
        <f>H30+J30</f>
        <v>44787.708333333336</v>
      </c>
      <c r="J30">
        <f>K30/60/24</f>
        <v>0.125</v>
      </c>
      <c r="K30">
        <v>180</v>
      </c>
    </row>
    <row r="31" spans="1:11" x14ac:dyDescent="0.25">
      <c r="A31" s="4" t="s">
        <v>225</v>
      </c>
      <c r="B31" s="4" t="s">
        <v>49</v>
      </c>
      <c r="C31" s="4" t="s">
        <v>226</v>
      </c>
      <c r="D31" s="4" t="s">
        <v>226</v>
      </c>
      <c r="E31" s="4" t="s">
        <v>227</v>
      </c>
      <c r="F31" s="4" t="s">
        <v>408</v>
      </c>
      <c r="G31" s="4" t="s">
        <v>52</v>
      </c>
      <c r="H31" s="5" t="str">
        <f>RIGHT(F31,16)</f>
        <v>14.08.2022 15:00</v>
      </c>
      <c r="I31" s="6">
        <f>H31+J31</f>
        <v>44787.65625</v>
      </c>
      <c r="J31">
        <f>K31/60/24</f>
        <v>3.125E-2</v>
      </c>
      <c r="K31">
        <v>45</v>
      </c>
    </row>
    <row r="32" spans="1:11" x14ac:dyDescent="0.25">
      <c r="A32" s="4" t="s">
        <v>225</v>
      </c>
      <c r="B32" s="4" t="s">
        <v>49</v>
      </c>
      <c r="C32" s="4" t="s">
        <v>430</v>
      </c>
      <c r="D32" s="4"/>
      <c r="E32" s="4"/>
      <c r="F32" s="4" t="s">
        <v>431</v>
      </c>
      <c r="G32" s="4" t="s">
        <v>52</v>
      </c>
      <c r="H32" s="5" t="str">
        <f>RIGHT(F32,16)</f>
        <v>14.08.2022 16:30</v>
      </c>
      <c r="I32" s="6">
        <f>H32+J32</f>
        <v>44787.729166666664</v>
      </c>
      <c r="J32">
        <f>K32/60/24</f>
        <v>4.1666666666666664E-2</v>
      </c>
      <c r="K32">
        <v>60</v>
      </c>
    </row>
    <row r="33" spans="1:11" x14ac:dyDescent="0.25">
      <c r="A33" s="4"/>
      <c r="B33" s="4"/>
      <c r="C33" s="4" t="s">
        <v>421</v>
      </c>
      <c r="D33" s="4"/>
      <c r="E33" s="7" t="s">
        <v>422</v>
      </c>
      <c r="F33" s="4" t="s">
        <v>423</v>
      </c>
      <c r="G33" s="4" t="s">
        <v>64</v>
      </c>
      <c r="H33" s="5" t="str">
        <f>RIGHT(F33,16)</f>
        <v>14.08.2022 12:00</v>
      </c>
      <c r="I33" s="6">
        <f t="shared" si="6"/>
        <v>44787.625</v>
      </c>
      <c r="J33">
        <f t="shared" si="7"/>
        <v>0.125</v>
      </c>
      <c r="K33">
        <v>180</v>
      </c>
    </row>
    <row r="34" spans="1:11" x14ac:dyDescent="0.25">
      <c r="A34" s="4" t="s">
        <v>166</v>
      </c>
      <c r="B34" s="4" t="s">
        <v>49</v>
      </c>
      <c r="C34" s="4" t="s">
        <v>167</v>
      </c>
      <c r="D34" s="4" t="s">
        <v>167</v>
      </c>
      <c r="E34" s="4" t="s">
        <v>168</v>
      </c>
      <c r="F34" s="4" t="s">
        <v>389</v>
      </c>
      <c r="G34" s="4" t="s">
        <v>64</v>
      </c>
      <c r="H34" s="5" t="str">
        <f>RIGHT(F34,16)</f>
        <v>14.08.2022 16:00</v>
      </c>
      <c r="I34" s="6">
        <f t="shared" ref="I34:I35" si="8">H34+J34</f>
        <v>44787.697916666664</v>
      </c>
      <c r="J34">
        <f t="shared" ref="J34:J35" si="9">K34/60/24</f>
        <v>3.125E-2</v>
      </c>
      <c r="K34">
        <v>45</v>
      </c>
    </row>
    <row r="35" spans="1:11" x14ac:dyDescent="0.25">
      <c r="A35" s="4" t="s">
        <v>77</v>
      </c>
      <c r="B35" s="4" t="s">
        <v>49</v>
      </c>
      <c r="C35" s="4" t="s">
        <v>78</v>
      </c>
      <c r="D35" s="4" t="s">
        <v>78</v>
      </c>
      <c r="E35" s="4" t="s">
        <v>79</v>
      </c>
      <c r="F35" s="4" t="s">
        <v>359</v>
      </c>
      <c r="G35" s="4" t="s">
        <v>64</v>
      </c>
      <c r="H35" s="5" t="str">
        <f>RIGHT(F35,16)</f>
        <v>14.08.2022 17:15</v>
      </c>
      <c r="I35" s="6">
        <f t="shared" si="8"/>
        <v>44787.760416666664</v>
      </c>
      <c r="J35">
        <f t="shared" si="9"/>
        <v>4.1666666666666664E-2</v>
      </c>
      <c r="K35">
        <v>60</v>
      </c>
    </row>
    <row r="36" spans="1:11" x14ac:dyDescent="0.25">
      <c r="A36" s="4" t="s">
        <v>129</v>
      </c>
      <c r="B36" s="4" t="s">
        <v>49</v>
      </c>
      <c r="C36" s="4" t="s">
        <v>130</v>
      </c>
      <c r="D36" s="4" t="s">
        <v>130</v>
      </c>
      <c r="E36" s="4" t="s">
        <v>131</v>
      </c>
      <c r="F36" s="4" t="s">
        <v>376</v>
      </c>
      <c r="G36" s="4" t="s">
        <v>56</v>
      </c>
      <c r="H36" s="5" t="str">
        <f>RIGHT(F36,16)</f>
        <v>14.08.2022 18:15</v>
      </c>
      <c r="I36" s="6">
        <f>H36+J36</f>
        <v>44787.770833333328</v>
      </c>
      <c r="J36">
        <f>K36/60/24</f>
        <v>1.0416666666666666E-2</v>
      </c>
      <c r="K36">
        <v>15</v>
      </c>
    </row>
    <row r="37" spans="1:11" x14ac:dyDescent="0.25">
      <c r="A37" s="4" t="s">
        <v>187</v>
      </c>
      <c r="B37" s="4" t="s">
        <v>49</v>
      </c>
      <c r="C37" s="4" t="s">
        <v>188</v>
      </c>
      <c r="D37" s="4" t="s">
        <v>188</v>
      </c>
      <c r="E37" s="4" t="s">
        <v>189</v>
      </c>
      <c r="F37" s="4" t="s">
        <v>396</v>
      </c>
      <c r="G37" s="4" t="s">
        <v>64</v>
      </c>
      <c r="H37" s="5" t="str">
        <f>RIGHT(F37,16)</f>
        <v>14.08.2022 19:00</v>
      </c>
      <c r="I37" s="6">
        <f>H37+J37</f>
        <v>44787.833333333328</v>
      </c>
      <c r="J37">
        <f>K37/60/24</f>
        <v>4.1666666666666664E-2</v>
      </c>
      <c r="K37">
        <v>60</v>
      </c>
    </row>
    <row r="38" spans="1:11" x14ac:dyDescent="0.25">
      <c r="A38" s="4" t="s">
        <v>196</v>
      </c>
      <c r="B38" s="4" t="s">
        <v>49</v>
      </c>
      <c r="C38" s="4" t="s">
        <v>197</v>
      </c>
      <c r="D38" s="4" t="s">
        <v>197</v>
      </c>
      <c r="E38" s="4" t="s">
        <v>198</v>
      </c>
      <c r="F38" s="4" t="s">
        <v>399</v>
      </c>
      <c r="G38" s="4" t="s">
        <v>102</v>
      </c>
      <c r="H38" s="5" t="str">
        <f>RIGHT(F38,16)</f>
        <v>14.08.2022 20:15</v>
      </c>
      <c r="I38" s="6">
        <f t="shared" ref="I38:I39" si="10">H38+J38</f>
        <v>44787.895833333336</v>
      </c>
      <c r="J38">
        <f t="shared" ref="J38:J39" si="11">K38/60/24</f>
        <v>5.2083333333333336E-2</v>
      </c>
      <c r="K38">
        <v>75</v>
      </c>
    </row>
    <row r="39" spans="1:11" x14ac:dyDescent="0.25">
      <c r="A39" s="4" t="s">
        <v>68</v>
      </c>
      <c r="B39" s="4" t="s">
        <v>49</v>
      </c>
      <c r="C39" s="4" t="s">
        <v>69</v>
      </c>
      <c r="D39" s="4" t="s">
        <v>69</v>
      </c>
      <c r="E39" s="4" t="s">
        <v>70</v>
      </c>
      <c r="F39" s="4" t="s">
        <v>356</v>
      </c>
      <c r="G39" s="4" t="s">
        <v>52</v>
      </c>
      <c r="H39" s="5" t="str">
        <f>RIGHT(F39,16)</f>
        <v>14.08.2022 20:30</v>
      </c>
      <c r="I39" s="6">
        <f t="shared" si="10"/>
        <v>44787.90625</v>
      </c>
      <c r="J39">
        <f t="shared" si="11"/>
        <v>5.2083333333333336E-2</v>
      </c>
      <c r="K39">
        <v>75</v>
      </c>
    </row>
    <row r="40" spans="1:11" x14ac:dyDescent="0.25">
      <c r="A40" s="4" t="s">
        <v>234</v>
      </c>
      <c r="B40" s="4" t="s">
        <v>49</v>
      </c>
      <c r="C40" s="4" t="s">
        <v>235</v>
      </c>
      <c r="D40" s="4" t="s">
        <v>235</v>
      </c>
      <c r="E40" s="4" t="s">
        <v>15</v>
      </c>
      <c r="F40" s="4" t="s">
        <v>356</v>
      </c>
      <c r="G40" s="4" t="s">
        <v>64</v>
      </c>
      <c r="H40" s="5" t="str">
        <f>RIGHT(F40,16)</f>
        <v>14.08.2022 20:30</v>
      </c>
      <c r="I40" s="6">
        <f t="shared" ref="I40:I45" si="12">H40+J40</f>
        <v>44787.90625</v>
      </c>
      <c r="J40">
        <f t="shared" ref="J40:J45" si="13">K40/60/24</f>
        <v>5.2083333333333336E-2</v>
      </c>
      <c r="K40">
        <v>75</v>
      </c>
    </row>
    <row r="41" spans="1:11" x14ac:dyDescent="0.25">
      <c r="A41" s="4" t="s">
        <v>247</v>
      </c>
      <c r="B41" s="4" t="s">
        <v>49</v>
      </c>
      <c r="C41" s="4" t="s">
        <v>248</v>
      </c>
      <c r="D41" s="4" t="s">
        <v>248</v>
      </c>
      <c r="E41" s="4" t="s">
        <v>249</v>
      </c>
      <c r="F41" s="4" t="s">
        <v>415</v>
      </c>
      <c r="G41" s="4" t="s">
        <v>64</v>
      </c>
      <c r="H41" s="5" t="str">
        <f>RIGHT(F41,16)</f>
        <v>15.08.2022 18:45</v>
      </c>
      <c r="I41" s="6">
        <f t="shared" si="12"/>
        <v>44788.822916666664</v>
      </c>
      <c r="J41">
        <f t="shared" si="13"/>
        <v>4.1666666666666664E-2</v>
      </c>
      <c r="K41">
        <v>60</v>
      </c>
    </row>
    <row r="42" spans="1:11" x14ac:dyDescent="0.25">
      <c r="A42" s="4" t="s">
        <v>135</v>
      </c>
      <c r="B42" s="4" t="s">
        <v>49</v>
      </c>
      <c r="C42" s="4" t="s">
        <v>136</v>
      </c>
      <c r="D42" s="4" t="s">
        <v>136</v>
      </c>
      <c r="E42" s="4" t="s">
        <v>137</v>
      </c>
      <c r="F42" s="4" t="s">
        <v>378</v>
      </c>
      <c r="G42" s="4" t="s">
        <v>60</v>
      </c>
      <c r="H42" s="5" t="str">
        <f>RIGHT(F42,16)</f>
        <v>15.08.2022 19:45</v>
      </c>
      <c r="I42" s="6">
        <f t="shared" si="12"/>
        <v>44788.854166666664</v>
      </c>
      <c r="J42">
        <f t="shared" si="13"/>
        <v>3.125E-2</v>
      </c>
      <c r="K42">
        <v>45</v>
      </c>
    </row>
    <row r="43" spans="1:11" x14ac:dyDescent="0.25">
      <c r="A43" s="4" t="s">
        <v>222</v>
      </c>
      <c r="B43" s="4" t="s">
        <v>49</v>
      </c>
      <c r="C43" s="4" t="s">
        <v>223</v>
      </c>
      <c r="D43" s="4" t="s">
        <v>223</v>
      </c>
      <c r="E43" s="4" t="s">
        <v>224</v>
      </c>
      <c r="F43" s="4" t="s">
        <v>378</v>
      </c>
      <c r="G43" s="4" t="s">
        <v>56</v>
      </c>
      <c r="H43" s="5" t="str">
        <f>RIGHT(F43,16)</f>
        <v>15.08.2022 19:45</v>
      </c>
      <c r="I43" s="6">
        <f t="shared" si="12"/>
        <v>44788.833333333328</v>
      </c>
      <c r="J43">
        <f t="shared" si="13"/>
        <v>1.0416666666666666E-2</v>
      </c>
      <c r="K43">
        <v>15</v>
      </c>
    </row>
    <row r="44" spans="1:11" x14ac:dyDescent="0.25">
      <c r="A44" s="4" t="s">
        <v>158</v>
      </c>
      <c r="B44" s="4" t="s">
        <v>49</v>
      </c>
      <c r="C44" s="4" t="s">
        <v>159</v>
      </c>
      <c r="D44" s="4" t="s">
        <v>159</v>
      </c>
      <c r="E44" s="4" t="s">
        <v>30</v>
      </c>
      <c r="F44" s="4" t="s">
        <v>386</v>
      </c>
      <c r="G44" s="4" t="s">
        <v>102</v>
      </c>
      <c r="H44" s="5" t="str">
        <f>RIGHT(F44,16)</f>
        <v>15.08.2022 20:15</v>
      </c>
      <c r="I44" s="6">
        <f t="shared" si="12"/>
        <v>44788.90625</v>
      </c>
      <c r="J44">
        <f t="shared" si="13"/>
        <v>6.25E-2</v>
      </c>
      <c r="K44">
        <v>90</v>
      </c>
    </row>
    <row r="45" spans="1:11" x14ac:dyDescent="0.25">
      <c r="A45" s="4" t="s">
        <v>138</v>
      </c>
      <c r="B45" s="4" t="s">
        <v>49</v>
      </c>
      <c r="C45" s="4" t="s">
        <v>139</v>
      </c>
      <c r="D45" s="4" t="s">
        <v>139</v>
      </c>
      <c r="E45" s="4" t="s">
        <v>24</v>
      </c>
      <c r="F45" s="4" t="s">
        <v>379</v>
      </c>
      <c r="G45" s="4" t="s">
        <v>52</v>
      </c>
      <c r="H45" s="5" t="str">
        <f>RIGHT(F45,16)</f>
        <v>15.08.2022 20:30</v>
      </c>
      <c r="I45" s="6">
        <f t="shared" si="12"/>
        <v>44788.90625</v>
      </c>
      <c r="J45">
        <f t="shared" si="13"/>
        <v>5.2083333333333336E-2</v>
      </c>
      <c r="K45">
        <v>75</v>
      </c>
    </row>
    <row r="46" spans="1:11" x14ac:dyDescent="0.25">
      <c r="A46" s="4" t="s">
        <v>265</v>
      </c>
      <c r="B46" s="4" t="s">
        <v>49</v>
      </c>
      <c r="C46" s="4" t="s">
        <v>266</v>
      </c>
      <c r="D46" s="4" t="s">
        <v>266</v>
      </c>
      <c r="E46" s="4" t="s">
        <v>267</v>
      </c>
      <c r="F46" s="4" t="s">
        <v>379</v>
      </c>
      <c r="G46" s="4" t="s">
        <v>64</v>
      </c>
      <c r="H46" s="5" t="str">
        <f>RIGHT(F46,16)</f>
        <v>15.08.2022 20:30</v>
      </c>
      <c r="I46" s="6">
        <f>H46+J46</f>
        <v>44788.895833333328</v>
      </c>
      <c r="J46">
        <f>K46/60/24</f>
        <v>4.1666666666666664E-2</v>
      </c>
      <c r="K46">
        <v>60</v>
      </c>
    </row>
    <row r="47" spans="1:11" x14ac:dyDescent="0.25">
      <c r="A47" s="4" t="s">
        <v>244</v>
      </c>
      <c r="B47" s="4" t="s">
        <v>49</v>
      </c>
      <c r="C47" s="4" t="s">
        <v>245</v>
      </c>
      <c r="D47" s="4" t="s">
        <v>245</v>
      </c>
      <c r="E47" s="4" t="s">
        <v>246</v>
      </c>
      <c r="F47" s="4" t="s">
        <v>414</v>
      </c>
      <c r="G47" s="4" t="s">
        <v>98</v>
      </c>
      <c r="H47" s="5" t="str">
        <f>RIGHT(F47,16)</f>
        <v>16.08.2022 11:45</v>
      </c>
      <c r="I47" s="6">
        <f>H47+J47</f>
        <v>44789.53125</v>
      </c>
      <c r="J47">
        <f>K47/60/24</f>
        <v>4.1666666666666664E-2</v>
      </c>
      <c r="K47">
        <v>60</v>
      </c>
    </row>
    <row r="48" spans="1:11" x14ac:dyDescent="0.25">
      <c r="A48" s="4" t="s">
        <v>171</v>
      </c>
      <c r="B48" s="4" t="s">
        <v>49</v>
      </c>
      <c r="C48" s="4" t="s">
        <v>172</v>
      </c>
      <c r="D48" s="4" t="s">
        <v>172</v>
      </c>
      <c r="E48" s="4" t="s">
        <v>173</v>
      </c>
      <c r="F48" s="4" t="s">
        <v>391</v>
      </c>
      <c r="G48" s="4" t="s">
        <v>64</v>
      </c>
      <c r="H48" s="5" t="str">
        <f>RIGHT(F48,16)</f>
        <v>16.08.2022 18:45</v>
      </c>
      <c r="I48" s="6">
        <f>H48+J48</f>
        <v>44789.8125</v>
      </c>
      <c r="J48">
        <f>K48/60/24</f>
        <v>3.125E-2</v>
      </c>
      <c r="K48">
        <v>45</v>
      </c>
    </row>
    <row r="49" spans="1:11" x14ac:dyDescent="0.25">
      <c r="A49" s="4" t="s">
        <v>259</v>
      </c>
      <c r="B49" s="4" t="s">
        <v>49</v>
      </c>
      <c r="C49" s="4" t="s">
        <v>260</v>
      </c>
      <c r="D49" s="4" t="s">
        <v>260</v>
      </c>
      <c r="E49" s="4" t="s">
        <v>261</v>
      </c>
      <c r="F49" s="4" t="s">
        <v>419</v>
      </c>
      <c r="G49" s="4" t="s">
        <v>52</v>
      </c>
      <c r="H49" s="5" t="str">
        <f>RIGHT(F49,16)</f>
        <v>16.08.2022 19:15</v>
      </c>
      <c r="I49" s="6">
        <f t="shared" ref="I49:I52" si="14">H49+J49</f>
        <v>44789.833333333336</v>
      </c>
      <c r="J49">
        <f t="shared" ref="J49:J52" si="15">K49/60/24</f>
        <v>3.125E-2</v>
      </c>
      <c r="K49">
        <v>45</v>
      </c>
    </row>
    <row r="50" spans="1:11" x14ac:dyDescent="0.25">
      <c r="A50" s="4" t="s">
        <v>120</v>
      </c>
      <c r="B50" s="4" t="s">
        <v>49</v>
      </c>
      <c r="C50" s="4" t="s">
        <v>121</v>
      </c>
      <c r="D50" s="4" t="s">
        <v>121</v>
      </c>
      <c r="E50" s="4" t="s">
        <v>122</v>
      </c>
      <c r="F50" s="4" t="s">
        <v>373</v>
      </c>
      <c r="G50" s="4" t="s">
        <v>56</v>
      </c>
      <c r="H50" s="5" t="str">
        <f>RIGHT(F50,16)</f>
        <v>16.08.2022 19:30</v>
      </c>
      <c r="I50" s="6">
        <f t="shared" si="14"/>
        <v>44789.822916666664</v>
      </c>
      <c r="J50">
        <f t="shared" si="15"/>
        <v>1.0416666666666666E-2</v>
      </c>
      <c r="K50">
        <v>15</v>
      </c>
    </row>
    <row r="51" spans="1:11" x14ac:dyDescent="0.25">
      <c r="A51" s="4" t="s">
        <v>57</v>
      </c>
      <c r="B51" s="4" t="s">
        <v>49</v>
      </c>
      <c r="C51" s="4" t="s">
        <v>58</v>
      </c>
      <c r="D51" s="4" t="s">
        <v>58</v>
      </c>
      <c r="E51" s="4" t="s">
        <v>59</v>
      </c>
      <c r="F51" s="4" t="s">
        <v>353</v>
      </c>
      <c r="G51" s="4" t="s">
        <v>60</v>
      </c>
      <c r="H51" s="5" t="str">
        <f>RIGHT(F51,16)</f>
        <v>16.08.2022 19:45</v>
      </c>
      <c r="I51" s="6">
        <f t="shared" si="14"/>
        <v>44789.854166666664</v>
      </c>
      <c r="J51">
        <f t="shared" si="15"/>
        <v>3.125E-2</v>
      </c>
      <c r="K51">
        <v>45</v>
      </c>
    </row>
    <row r="52" spans="1:11" x14ac:dyDescent="0.25">
      <c r="A52" s="4" t="s">
        <v>48</v>
      </c>
      <c r="B52" s="4" t="s">
        <v>49</v>
      </c>
      <c r="C52" s="4" t="s">
        <v>50</v>
      </c>
      <c r="D52" s="4" t="s">
        <v>50</v>
      </c>
      <c r="E52" s="4" t="s">
        <v>51</v>
      </c>
      <c r="F52" s="4" t="s">
        <v>351</v>
      </c>
      <c r="G52" s="4" t="s">
        <v>52</v>
      </c>
      <c r="H52" s="5" t="str">
        <f>RIGHT(F52,16)</f>
        <v>16.08.2022 20:15</v>
      </c>
      <c r="I52" s="6">
        <f t="shared" si="14"/>
        <v>44789.90625</v>
      </c>
      <c r="J52">
        <f t="shared" si="15"/>
        <v>6.25E-2</v>
      </c>
      <c r="K52">
        <v>90</v>
      </c>
    </row>
    <row r="53" spans="1:11" x14ac:dyDescent="0.25">
      <c r="A53" s="4" t="s">
        <v>262</v>
      </c>
      <c r="B53" s="4" t="s">
        <v>49</v>
      </c>
      <c r="C53" s="4" t="s">
        <v>263</v>
      </c>
      <c r="D53" s="4" t="s">
        <v>263</v>
      </c>
      <c r="E53" s="4" t="s">
        <v>264</v>
      </c>
      <c r="F53" s="4" t="s">
        <v>351</v>
      </c>
      <c r="G53" s="4" t="s">
        <v>64</v>
      </c>
      <c r="H53" s="5" t="str">
        <f>RIGHT(F53,16)</f>
        <v>16.08.2022 20:15</v>
      </c>
      <c r="I53" s="6">
        <f>H53+J53</f>
        <v>44789.895833333336</v>
      </c>
      <c r="J53">
        <f>K53/60/24</f>
        <v>5.2083333333333336E-2</v>
      </c>
      <c r="K53">
        <v>75</v>
      </c>
    </row>
    <row r="54" spans="1:11" x14ac:dyDescent="0.25">
      <c r="A54" s="4" t="s">
        <v>274</v>
      </c>
      <c r="B54" s="4" t="s">
        <v>49</v>
      </c>
      <c r="C54" s="4" t="s">
        <v>275</v>
      </c>
      <c r="D54" s="4" t="s">
        <v>275</v>
      </c>
      <c r="E54" s="4" t="s">
        <v>276</v>
      </c>
      <c r="F54" s="4" t="s">
        <v>351</v>
      </c>
      <c r="G54" s="4" t="s">
        <v>102</v>
      </c>
      <c r="H54" s="5" t="str">
        <f>RIGHT(F54,16)</f>
        <v>16.08.2022 20:15</v>
      </c>
      <c r="I54" s="6">
        <f t="shared" ref="I54:I55" si="16">H54+J54</f>
        <v>44789.885416666664</v>
      </c>
      <c r="J54">
        <f t="shared" ref="J54:J55" si="17">K54/60/24</f>
        <v>4.1666666666666664E-2</v>
      </c>
      <c r="K54">
        <v>60</v>
      </c>
    </row>
    <row r="55" spans="1:11" x14ac:dyDescent="0.25">
      <c r="A55" s="4" t="s">
        <v>193</v>
      </c>
      <c r="B55" s="4" t="s">
        <v>49</v>
      </c>
      <c r="C55" s="4" t="s">
        <v>194</v>
      </c>
      <c r="D55" s="4" t="s">
        <v>194</v>
      </c>
      <c r="E55" s="4" t="s">
        <v>195</v>
      </c>
      <c r="F55" s="4" t="s">
        <v>398</v>
      </c>
      <c r="G55" s="4" t="s">
        <v>98</v>
      </c>
      <c r="H55" s="5" t="str">
        <f>RIGHT(F55,16)</f>
        <v>17.08.2022 11:45</v>
      </c>
      <c r="I55" s="6">
        <f t="shared" si="16"/>
        <v>44790.53125</v>
      </c>
      <c r="J55">
        <f t="shared" si="17"/>
        <v>4.1666666666666664E-2</v>
      </c>
      <c r="K55">
        <v>60</v>
      </c>
    </row>
    <row r="56" spans="1:11" x14ac:dyDescent="0.25">
      <c r="A56" s="4" t="s">
        <v>126</v>
      </c>
      <c r="B56" s="4" t="s">
        <v>49</v>
      </c>
      <c r="C56" s="4" t="s">
        <v>127</v>
      </c>
      <c r="D56" s="4" t="s">
        <v>127</v>
      </c>
      <c r="E56" s="4" t="s">
        <v>128</v>
      </c>
      <c r="F56" s="4" t="s">
        <v>375</v>
      </c>
      <c r="G56" s="4" t="s">
        <v>64</v>
      </c>
      <c r="H56" s="5" t="str">
        <f>RIGHT(F56,16)</f>
        <v>17.08.2022 15:00</v>
      </c>
      <c r="I56" s="6">
        <f t="shared" ref="I56:I59" si="18">H56+J56</f>
        <v>44790.666666666664</v>
      </c>
      <c r="J56">
        <f t="shared" ref="J56:J59" si="19">K56/60/24</f>
        <v>4.1666666666666664E-2</v>
      </c>
      <c r="K56">
        <v>60</v>
      </c>
    </row>
    <row r="57" spans="1:11" x14ac:dyDescent="0.25">
      <c r="A57" s="4" t="s">
        <v>169</v>
      </c>
      <c r="B57" s="4" t="s">
        <v>49</v>
      </c>
      <c r="C57" s="4" t="s">
        <v>170</v>
      </c>
      <c r="D57" s="4" t="s">
        <v>170</v>
      </c>
      <c r="E57" s="4" t="s">
        <v>19</v>
      </c>
      <c r="F57" s="4" t="s">
        <v>390</v>
      </c>
      <c r="G57" s="4" t="s">
        <v>64</v>
      </c>
      <c r="H57" s="5" t="str">
        <f>RIGHT(F57,16)</f>
        <v>17.08.2022 18:45</v>
      </c>
      <c r="I57" s="6">
        <f t="shared" si="18"/>
        <v>44790.8125</v>
      </c>
      <c r="J57">
        <f t="shared" si="19"/>
        <v>3.125E-2</v>
      </c>
      <c r="K57">
        <v>45</v>
      </c>
    </row>
    <row r="58" spans="1:11" x14ac:dyDescent="0.25">
      <c r="A58" s="4" t="s">
        <v>118</v>
      </c>
      <c r="B58" s="4" t="s">
        <v>49</v>
      </c>
      <c r="C58" s="4" t="s">
        <v>119</v>
      </c>
      <c r="D58" s="4" t="s">
        <v>119</v>
      </c>
      <c r="E58" s="4" t="s">
        <v>39</v>
      </c>
      <c r="F58" s="4" t="s">
        <v>372</v>
      </c>
      <c r="G58" s="4" t="s">
        <v>56</v>
      </c>
      <c r="H58" s="5" t="str">
        <f>RIGHT(F58,16)</f>
        <v>17.08.2022 19:30</v>
      </c>
      <c r="I58" s="6">
        <f t="shared" si="18"/>
        <v>44790.822916666664</v>
      </c>
      <c r="J58">
        <f t="shared" si="19"/>
        <v>1.0416666666666666E-2</v>
      </c>
      <c r="K58">
        <v>15</v>
      </c>
    </row>
    <row r="59" spans="1:11" x14ac:dyDescent="0.25">
      <c r="A59" s="4" t="s">
        <v>208</v>
      </c>
      <c r="B59" s="4" t="s">
        <v>49</v>
      </c>
      <c r="C59" s="4" t="s">
        <v>209</v>
      </c>
      <c r="D59" s="4" t="s">
        <v>209</v>
      </c>
      <c r="E59" s="4" t="s">
        <v>210</v>
      </c>
      <c r="F59" s="4" t="s">
        <v>403</v>
      </c>
      <c r="G59" s="4" t="s">
        <v>60</v>
      </c>
      <c r="H59" s="5" t="str">
        <f>RIGHT(F59,16)</f>
        <v>17.08.2022 19:45</v>
      </c>
      <c r="I59" s="6">
        <f t="shared" si="18"/>
        <v>44790.854166666664</v>
      </c>
      <c r="J59">
        <f t="shared" si="19"/>
        <v>3.125E-2</v>
      </c>
      <c r="K59">
        <v>45</v>
      </c>
    </row>
    <row r="60" spans="1:11" x14ac:dyDescent="0.25">
      <c r="A60" s="4" t="s">
        <v>140</v>
      </c>
      <c r="B60" s="4" t="s">
        <v>49</v>
      </c>
      <c r="C60" s="4" t="s">
        <v>141</v>
      </c>
      <c r="D60" s="4" t="s">
        <v>141</v>
      </c>
      <c r="E60" s="4" t="s">
        <v>142</v>
      </c>
      <c r="F60" s="4" t="s">
        <v>380</v>
      </c>
      <c r="G60" s="4" t="s">
        <v>64</v>
      </c>
      <c r="H60" s="5" t="str">
        <f>RIGHT(F60,16)</f>
        <v>17.08.2022 20:15</v>
      </c>
      <c r="I60" s="6">
        <f>H60+J60</f>
        <v>44790.90625</v>
      </c>
      <c r="J60">
        <f>K60/60/24</f>
        <v>6.25E-2</v>
      </c>
      <c r="K60">
        <v>90</v>
      </c>
    </row>
    <row r="61" spans="1:11" x14ac:dyDescent="0.25">
      <c r="A61" s="4" t="s">
        <v>271</v>
      </c>
      <c r="B61" s="4" t="s">
        <v>49</v>
      </c>
      <c r="C61" s="4" t="s">
        <v>272</v>
      </c>
      <c r="D61" s="4" t="s">
        <v>272</v>
      </c>
      <c r="E61" s="4" t="s">
        <v>273</v>
      </c>
      <c r="F61" s="4" t="s">
        <v>380</v>
      </c>
      <c r="G61" s="4" t="s">
        <v>102</v>
      </c>
      <c r="H61" s="5" t="str">
        <f>RIGHT(F61,16)</f>
        <v>17.08.2022 20:15</v>
      </c>
      <c r="I61" s="6">
        <f t="shared" ref="I61:I64" si="20">H61+J61</f>
        <v>44790.895833333336</v>
      </c>
      <c r="J61">
        <f t="shared" ref="J61:J64" si="21">K61/60/24</f>
        <v>5.2083333333333336E-2</v>
      </c>
      <c r="K61">
        <v>75</v>
      </c>
    </row>
    <row r="62" spans="1:11" x14ac:dyDescent="0.25">
      <c r="A62" s="4"/>
      <c r="B62" s="4"/>
      <c r="C62" s="4" t="s">
        <v>429</v>
      </c>
      <c r="D62" s="4"/>
      <c r="E62" s="4"/>
      <c r="F62" s="4" t="s">
        <v>432</v>
      </c>
      <c r="G62" s="4" t="s">
        <v>52</v>
      </c>
      <c r="H62" s="5" t="str">
        <f>RIGHT(F62,16)</f>
        <v>17.08.2022 14:00</v>
      </c>
      <c r="I62" s="6">
        <f>H62+J62</f>
        <v>44790.708333333336</v>
      </c>
      <c r="J62">
        <f>K62/60/24</f>
        <v>0.125</v>
      </c>
      <c r="K62">
        <v>180</v>
      </c>
    </row>
    <row r="63" spans="1:11" x14ac:dyDescent="0.25">
      <c r="A63" s="4" t="s">
        <v>256</v>
      </c>
      <c r="B63" s="4" t="s">
        <v>49</v>
      </c>
      <c r="C63" s="4" t="s">
        <v>257</v>
      </c>
      <c r="D63" s="4" t="s">
        <v>257</v>
      </c>
      <c r="E63" s="4" t="s">
        <v>258</v>
      </c>
      <c r="F63" s="4" t="s">
        <v>418</v>
      </c>
      <c r="G63" s="4" t="s">
        <v>52</v>
      </c>
      <c r="H63" s="5" t="str">
        <f>RIGHT(F63,16)</f>
        <v>17.08.2022 20:30</v>
      </c>
      <c r="I63" s="6">
        <f t="shared" si="20"/>
        <v>44790.90625</v>
      </c>
      <c r="J63">
        <f t="shared" si="21"/>
        <v>5.2083333333333336E-2</v>
      </c>
      <c r="K63">
        <v>75</v>
      </c>
    </row>
    <row r="64" spans="1:11" x14ac:dyDescent="0.25">
      <c r="A64" s="4" t="s">
        <v>95</v>
      </c>
      <c r="B64" s="4" t="s">
        <v>49</v>
      </c>
      <c r="C64" s="4" t="s">
        <v>96</v>
      </c>
      <c r="D64" s="4" t="s">
        <v>96</v>
      </c>
      <c r="E64" s="4" t="s">
        <v>97</v>
      </c>
      <c r="F64" s="4" t="s">
        <v>365</v>
      </c>
      <c r="G64" s="4" t="s">
        <v>98</v>
      </c>
      <c r="H64" s="5" t="str">
        <f>RIGHT(F64,16)</f>
        <v>18.08.2022 11:45</v>
      </c>
      <c r="I64" s="6">
        <f t="shared" si="20"/>
        <v>44791.53125</v>
      </c>
      <c r="J64">
        <f t="shared" si="21"/>
        <v>4.1666666666666664E-2</v>
      </c>
      <c r="K64">
        <v>60</v>
      </c>
    </row>
    <row r="65" spans="1:11" x14ac:dyDescent="0.25">
      <c r="A65" s="4" t="s">
        <v>199</v>
      </c>
      <c r="B65" s="4" t="s">
        <v>49</v>
      </c>
      <c r="C65" s="4" t="s">
        <v>200</v>
      </c>
      <c r="D65" s="4" t="s">
        <v>200</v>
      </c>
      <c r="E65" s="4" t="s">
        <v>201</v>
      </c>
      <c r="F65" s="4" t="s">
        <v>400</v>
      </c>
      <c r="G65" s="4" t="s">
        <v>64</v>
      </c>
      <c r="H65" s="5" t="str">
        <f>RIGHT(F65,16)</f>
        <v>18.08.2022 18:30</v>
      </c>
      <c r="I65" s="6">
        <f>H65+J65</f>
        <v>44791.802083333336</v>
      </c>
      <c r="J65">
        <f>K65/60/24</f>
        <v>3.125E-2</v>
      </c>
      <c r="K65">
        <v>45</v>
      </c>
    </row>
    <row r="66" spans="1:11" x14ac:dyDescent="0.25">
      <c r="A66" s="4" t="s">
        <v>53</v>
      </c>
      <c r="B66" s="4" t="s">
        <v>49</v>
      </c>
      <c r="C66" s="4" t="s">
        <v>54</v>
      </c>
      <c r="D66" s="4" t="s">
        <v>54</v>
      </c>
      <c r="E66" s="4" t="s">
        <v>55</v>
      </c>
      <c r="F66" s="4" t="s">
        <v>352</v>
      </c>
      <c r="G66" s="4" t="s">
        <v>56</v>
      </c>
      <c r="H66" s="5" t="str">
        <f>RIGHT(F66,16)</f>
        <v>18.08.2022 19:15</v>
      </c>
      <c r="I66" s="6">
        <f>H66+J66</f>
        <v>44791.8125</v>
      </c>
      <c r="J66">
        <f>K66/60/24</f>
        <v>1.0416666666666666E-2</v>
      </c>
      <c r="K66">
        <v>15</v>
      </c>
    </row>
    <row r="67" spans="1:11" x14ac:dyDescent="0.25">
      <c r="A67" s="4" t="s">
        <v>132</v>
      </c>
      <c r="B67" s="4" t="s">
        <v>49</v>
      </c>
      <c r="C67" s="4" t="s">
        <v>133</v>
      </c>
      <c r="D67" s="4" t="s">
        <v>133</v>
      </c>
      <c r="E67" s="4" t="s">
        <v>134</v>
      </c>
      <c r="F67" s="4" t="s">
        <v>377</v>
      </c>
      <c r="G67" s="4" t="s">
        <v>64</v>
      </c>
      <c r="H67" s="5" t="str">
        <f>RIGHT(F67,16)</f>
        <v>18.08.2022 20:00</v>
      </c>
      <c r="I67" s="6">
        <f>H67+J67</f>
        <v>44791.875</v>
      </c>
      <c r="J67">
        <f>K67/60/24</f>
        <v>4.1666666666666664E-2</v>
      </c>
      <c r="K67">
        <v>60</v>
      </c>
    </row>
    <row r="68" spans="1:11" x14ac:dyDescent="0.25">
      <c r="A68" s="4" t="s">
        <v>149</v>
      </c>
      <c r="B68" s="4" t="s">
        <v>49</v>
      </c>
      <c r="C68" s="4" t="s">
        <v>150</v>
      </c>
      <c r="D68" s="4" t="s">
        <v>150</v>
      </c>
      <c r="E68" s="4" t="s">
        <v>151</v>
      </c>
      <c r="F68" s="4" t="s">
        <v>383</v>
      </c>
      <c r="G68" s="4" t="s">
        <v>102</v>
      </c>
      <c r="H68" s="5" t="str">
        <f>RIGHT(F68,16)</f>
        <v>18.08.2022 20:15</v>
      </c>
      <c r="I68" s="6">
        <f t="shared" ref="I68:I69" si="22">H68+J68</f>
        <v>44791.895833333336</v>
      </c>
      <c r="J68">
        <f t="shared" ref="J68:J69" si="23">K68/60/24</f>
        <v>5.2083333333333336E-2</v>
      </c>
      <c r="K68">
        <v>75</v>
      </c>
    </row>
    <row r="69" spans="1:11" x14ac:dyDescent="0.25">
      <c r="A69" s="4" t="s">
        <v>71</v>
      </c>
      <c r="B69" s="4" t="s">
        <v>49</v>
      </c>
      <c r="C69" s="4" t="s">
        <v>72</v>
      </c>
      <c r="D69" s="4" t="s">
        <v>72</v>
      </c>
      <c r="E69" s="4" t="s">
        <v>73</v>
      </c>
      <c r="F69" s="4" t="s">
        <v>357</v>
      </c>
      <c r="G69" s="4" t="s">
        <v>52</v>
      </c>
      <c r="H69" s="5" t="str">
        <f>RIGHT(F69,16)</f>
        <v>18.08.2022 20:30</v>
      </c>
      <c r="I69" s="6">
        <f t="shared" si="22"/>
        <v>44791.905555555553</v>
      </c>
      <c r="J69">
        <f t="shared" si="23"/>
        <v>5.1388888888888894E-2</v>
      </c>
      <c r="K69">
        <v>74</v>
      </c>
    </row>
    <row r="70" spans="1:11" x14ac:dyDescent="0.25">
      <c r="A70" s="4" t="s">
        <v>112</v>
      </c>
      <c r="B70" s="4" t="s">
        <v>49</v>
      </c>
      <c r="C70" s="4" t="s">
        <v>113</v>
      </c>
      <c r="D70" s="4" t="s">
        <v>113</v>
      </c>
      <c r="E70" s="4" t="s">
        <v>114</v>
      </c>
      <c r="F70" s="4" t="s">
        <v>370</v>
      </c>
      <c r="G70" s="4" t="s">
        <v>64</v>
      </c>
      <c r="H70" s="5" t="str">
        <f>RIGHT(F70,16)</f>
        <v>18.08.2022 21:30</v>
      </c>
      <c r="I70" s="6">
        <f>H70+J70</f>
        <v>44791.947916666672</v>
      </c>
      <c r="J70">
        <f>K70/60/24</f>
        <v>5.2083333333333336E-2</v>
      </c>
      <c r="K70">
        <v>75</v>
      </c>
    </row>
    <row r="71" spans="1:11" x14ac:dyDescent="0.25">
      <c r="A71" s="4" t="s">
        <v>241</v>
      </c>
      <c r="B71" s="4" t="s">
        <v>49</v>
      </c>
      <c r="C71" s="4" t="s">
        <v>242</v>
      </c>
      <c r="D71" s="4" t="s">
        <v>242</v>
      </c>
      <c r="E71" s="4" t="s">
        <v>243</v>
      </c>
      <c r="F71" s="4" t="s">
        <v>413</v>
      </c>
      <c r="G71" s="4" t="s">
        <v>102</v>
      </c>
      <c r="H71" s="5" t="str">
        <f>RIGHT(F71,16)</f>
        <v>19.08.2022 20:15</v>
      </c>
      <c r="I71" s="6">
        <f>H71+J71</f>
        <v>44792.90625</v>
      </c>
      <c r="J71">
        <f>K71/60/24</f>
        <v>6.25E-2</v>
      </c>
      <c r="K71">
        <v>90</v>
      </c>
    </row>
    <row r="72" spans="1:11" x14ac:dyDescent="0.25">
      <c r="A72" s="4"/>
      <c r="B72" s="4"/>
      <c r="C72" s="4" t="s">
        <v>424</v>
      </c>
      <c r="D72" s="4"/>
      <c r="E72" s="7" t="s">
        <v>426</v>
      </c>
      <c r="F72" s="4" t="s">
        <v>425</v>
      </c>
      <c r="G72" s="4" t="s">
        <v>64</v>
      </c>
      <c r="H72" s="5" t="str">
        <f>RIGHT(F72,16)</f>
        <v>18.08.2022 19:30</v>
      </c>
      <c r="I72" s="6">
        <f>H72+J72</f>
        <v>44791.840277777781</v>
      </c>
      <c r="J72">
        <f>K72/60/24</f>
        <v>2.7777777777777776E-2</v>
      </c>
      <c r="K72">
        <v>40</v>
      </c>
    </row>
    <row r="73" spans="1:11" x14ac:dyDescent="0.25">
      <c r="A73" s="4" t="s">
        <v>177</v>
      </c>
      <c r="B73" s="4" t="s">
        <v>49</v>
      </c>
      <c r="C73" s="4" t="s">
        <v>178</v>
      </c>
      <c r="D73" s="4" t="s">
        <v>178</v>
      </c>
      <c r="E73" s="4" t="s">
        <v>179</v>
      </c>
      <c r="F73" s="4" t="s">
        <v>393</v>
      </c>
      <c r="G73" s="4" t="s">
        <v>64</v>
      </c>
      <c r="H73" s="5" t="str">
        <f>RIGHT(F73,16)</f>
        <v>19.08.2022 20:40</v>
      </c>
      <c r="I73" s="6">
        <f t="shared" ref="I73:I74" si="24">H73+J73</f>
        <v>44792.913194444445</v>
      </c>
      <c r="J73">
        <f t="shared" ref="J73:J74" si="25">K73/60/24</f>
        <v>5.2083333333333336E-2</v>
      </c>
      <c r="K73">
        <v>75</v>
      </c>
    </row>
    <row r="74" spans="1:11" x14ac:dyDescent="0.25">
      <c r="A74" s="4" t="s">
        <v>253</v>
      </c>
      <c r="B74" s="4" t="s">
        <v>49</v>
      </c>
      <c r="C74" s="4" t="s">
        <v>254</v>
      </c>
      <c r="D74" s="4" t="s">
        <v>254</v>
      </c>
      <c r="E74" s="4" t="s">
        <v>255</v>
      </c>
      <c r="F74" s="4" t="s">
        <v>417</v>
      </c>
      <c r="G74" s="4" t="s">
        <v>64</v>
      </c>
      <c r="H74" s="5" t="str">
        <f>RIGHT(F74,16)</f>
        <v>19.08.2022 22:30</v>
      </c>
      <c r="I74" s="6">
        <f t="shared" si="24"/>
        <v>44793</v>
      </c>
      <c r="J74">
        <f t="shared" si="25"/>
        <v>6.25E-2</v>
      </c>
      <c r="K74">
        <v>90</v>
      </c>
    </row>
    <row r="75" spans="1:11" x14ac:dyDescent="0.25">
      <c r="A75" s="4" t="s">
        <v>205</v>
      </c>
      <c r="B75" s="4" t="s">
        <v>49</v>
      </c>
      <c r="C75" s="4" t="s">
        <v>206</v>
      </c>
      <c r="D75" s="4" t="s">
        <v>206</v>
      </c>
      <c r="E75" s="4" t="s">
        <v>207</v>
      </c>
      <c r="F75" s="4" t="s">
        <v>402</v>
      </c>
      <c r="G75" s="4" t="s">
        <v>102</v>
      </c>
      <c r="H75" s="5" t="str">
        <f>RIGHT(F75,16)</f>
        <v>20.08.2022 14:00</v>
      </c>
      <c r="I75" s="6">
        <f>H75+J75</f>
        <v>44793.618055555555</v>
      </c>
      <c r="J75">
        <f>K75/60/24</f>
        <v>3.4722222222222224E-2</v>
      </c>
      <c r="K75">
        <v>50</v>
      </c>
    </row>
    <row r="76" spans="1:11" x14ac:dyDescent="0.25">
      <c r="A76" s="4" t="s">
        <v>219</v>
      </c>
      <c r="B76" s="4" t="s">
        <v>49</v>
      </c>
      <c r="C76" s="4" t="s">
        <v>220</v>
      </c>
      <c r="D76" s="4" t="s">
        <v>220</v>
      </c>
      <c r="E76" s="4" t="s">
        <v>221</v>
      </c>
      <c r="F76" s="4" t="s">
        <v>407</v>
      </c>
      <c r="G76" s="4" t="s">
        <v>64</v>
      </c>
      <c r="H76" s="5" t="str">
        <f>RIGHT(F76,16)</f>
        <v>20.08.2022 18:45</v>
      </c>
      <c r="I76" s="6">
        <f t="shared" ref="I76:I77" si="26">H76+J76</f>
        <v>44793.8125</v>
      </c>
      <c r="J76">
        <f t="shared" ref="J76:J77" si="27">K76/60/24</f>
        <v>3.125E-2</v>
      </c>
      <c r="K76">
        <v>45</v>
      </c>
    </row>
    <row r="77" spans="1:11" x14ac:dyDescent="0.25">
      <c r="A77" s="4" t="s">
        <v>238</v>
      </c>
      <c r="B77" s="4" t="s">
        <v>49</v>
      </c>
      <c r="C77" s="4" t="s">
        <v>239</v>
      </c>
      <c r="D77" s="4" t="s">
        <v>239</v>
      </c>
      <c r="E77" s="4" t="s">
        <v>240</v>
      </c>
      <c r="F77" s="4" t="s">
        <v>412</v>
      </c>
      <c r="G77" s="4" t="s">
        <v>64</v>
      </c>
      <c r="H77" s="5" t="str">
        <f>RIGHT(F77,16)</f>
        <v>20.08.2022 20:00</v>
      </c>
      <c r="I77" s="6">
        <f t="shared" si="26"/>
        <v>44793.885416666672</v>
      </c>
      <c r="J77">
        <f t="shared" si="27"/>
        <v>5.2083333333333336E-2</v>
      </c>
      <c r="K77">
        <v>75</v>
      </c>
    </row>
    <row r="78" spans="1:11" x14ac:dyDescent="0.25">
      <c r="A78" s="4" t="s">
        <v>163</v>
      </c>
      <c r="B78" s="4" t="s">
        <v>49</v>
      </c>
      <c r="C78" s="4" t="s">
        <v>164</v>
      </c>
      <c r="D78" s="4" t="s">
        <v>164</v>
      </c>
      <c r="E78" s="4" t="s">
        <v>165</v>
      </c>
      <c r="F78" s="4" t="s">
        <v>388</v>
      </c>
      <c r="G78" s="4" t="s">
        <v>102</v>
      </c>
      <c r="H78" s="5" t="str">
        <f>RIGHT(F78,16)</f>
        <v>20.08.2022 20:15</v>
      </c>
      <c r="I78" s="6">
        <f>H78+J78</f>
        <v>44793.895833333336</v>
      </c>
      <c r="J78">
        <f>K78/60/24</f>
        <v>5.2083333333333336E-2</v>
      </c>
      <c r="K78">
        <v>75</v>
      </c>
    </row>
    <row r="79" spans="1:11" x14ac:dyDescent="0.25">
      <c r="A79" s="4" t="s">
        <v>83</v>
      </c>
      <c r="B79" s="4" t="s">
        <v>49</v>
      </c>
      <c r="C79" s="4" t="s">
        <v>84</v>
      </c>
      <c r="D79" s="4" t="s">
        <v>84</v>
      </c>
      <c r="E79" s="4" t="s">
        <v>85</v>
      </c>
      <c r="F79" s="4" t="s">
        <v>361</v>
      </c>
      <c r="G79" s="4" t="s">
        <v>64</v>
      </c>
      <c r="H79" s="5" t="str">
        <f>RIGHT(F79,16)</f>
        <v>20.08.2022 22:00</v>
      </c>
      <c r="I79" s="6">
        <f>H79+J79</f>
        <v>44793.979166666664</v>
      </c>
      <c r="J79">
        <f>K79/60/24</f>
        <v>6.25E-2</v>
      </c>
      <c r="K79">
        <v>90</v>
      </c>
    </row>
    <row r="80" spans="1:11" x14ac:dyDescent="0.25">
      <c r="A80" s="4" t="s">
        <v>103</v>
      </c>
      <c r="B80" s="4" t="s">
        <v>49</v>
      </c>
      <c r="C80" s="4" t="s">
        <v>104</v>
      </c>
      <c r="D80" s="4" t="s">
        <v>104</v>
      </c>
      <c r="E80" s="4" t="s">
        <v>105</v>
      </c>
      <c r="F80" s="4" t="s">
        <v>367</v>
      </c>
      <c r="G80" s="4" t="s">
        <v>102</v>
      </c>
      <c r="H80" s="5" t="str">
        <f>RIGHT(F80,16)</f>
        <v>21.08.2022 14:00</v>
      </c>
      <c r="I80" s="6">
        <f>H80+J80</f>
        <v>44794.625</v>
      </c>
      <c r="J80">
        <f>K80/60/24</f>
        <v>4.1666666666666664E-2</v>
      </c>
      <c r="K80">
        <v>60</v>
      </c>
    </row>
    <row r="81" spans="1:11" x14ac:dyDescent="0.25">
      <c r="A81" s="4" t="s">
        <v>115</v>
      </c>
      <c r="B81" s="4" t="s">
        <v>49</v>
      </c>
      <c r="C81" s="4" t="s">
        <v>116</v>
      </c>
      <c r="D81" s="4" t="s">
        <v>116</v>
      </c>
      <c r="E81" s="4" t="s">
        <v>117</v>
      </c>
      <c r="F81" s="4" t="s">
        <v>371</v>
      </c>
      <c r="G81" s="4" t="s">
        <v>64</v>
      </c>
      <c r="H81" s="5" t="str">
        <f>RIGHT(F81,16)</f>
        <v>21.08.2022 16:45</v>
      </c>
      <c r="I81" s="6">
        <f t="shared" ref="I81:I83" si="28">H81+J81</f>
        <v>44794.729166666664</v>
      </c>
      <c r="J81">
        <f t="shared" ref="J81:J83" si="29">K81/60/24</f>
        <v>3.125E-2</v>
      </c>
      <c r="K81">
        <v>45</v>
      </c>
    </row>
    <row r="82" spans="1:11" x14ac:dyDescent="0.25">
      <c r="A82" s="4" t="s">
        <v>211</v>
      </c>
      <c r="B82" s="4" t="s">
        <v>49</v>
      </c>
      <c r="C82" s="4" t="s">
        <v>212</v>
      </c>
      <c r="D82" s="4" t="s">
        <v>212</v>
      </c>
      <c r="E82" s="4" t="s">
        <v>213</v>
      </c>
      <c r="F82" s="4" t="s">
        <v>404</v>
      </c>
      <c r="G82" s="4" t="s">
        <v>64</v>
      </c>
      <c r="H82" s="5" t="str">
        <f>RIGHT(F82,16)</f>
        <v>21.08.2022 18:15</v>
      </c>
      <c r="I82" s="6">
        <f t="shared" si="28"/>
        <v>44794.802083333328</v>
      </c>
      <c r="J82">
        <f t="shared" si="29"/>
        <v>4.1666666666666664E-2</v>
      </c>
      <c r="K82">
        <v>60</v>
      </c>
    </row>
    <row r="83" spans="1:11" x14ac:dyDescent="0.25">
      <c r="A83" s="4" t="s">
        <v>202</v>
      </c>
      <c r="B83" s="4" t="s">
        <v>49</v>
      </c>
      <c r="C83" s="4" t="s">
        <v>203</v>
      </c>
      <c r="D83" s="4" t="s">
        <v>203</v>
      </c>
      <c r="E83" s="4" t="s">
        <v>204</v>
      </c>
      <c r="F83" s="4" t="s">
        <v>401</v>
      </c>
      <c r="G83" s="4" t="s">
        <v>64</v>
      </c>
      <c r="H83" s="5" t="str">
        <f>RIGHT(F83,16)</f>
        <v>21.08.2022 20:00</v>
      </c>
      <c r="I83" s="6">
        <f t="shared" si="28"/>
        <v>44794.895833333336</v>
      </c>
      <c r="J83">
        <f t="shared" si="29"/>
        <v>6.25E-2</v>
      </c>
      <c r="K83">
        <v>90</v>
      </c>
    </row>
    <row r="84" spans="1:11" x14ac:dyDescent="0.25">
      <c r="A84" s="4" t="s">
        <v>214</v>
      </c>
      <c r="B84" s="4" t="s">
        <v>49</v>
      </c>
      <c r="C84" s="4" t="s">
        <v>215</v>
      </c>
      <c r="D84" s="4" t="s">
        <v>215</v>
      </c>
      <c r="E84" s="4" t="s">
        <v>34</v>
      </c>
      <c r="F84" s="4" t="s">
        <v>405</v>
      </c>
      <c r="G84" s="4" t="s">
        <v>102</v>
      </c>
      <c r="H84" s="5" t="str">
        <f>RIGHT(F84,16)</f>
        <v>21.08.2022 20:15</v>
      </c>
      <c r="I84" s="6">
        <f>H84+J84</f>
        <v>44794.895833333336</v>
      </c>
      <c r="J84">
        <f>K84/60/24</f>
        <v>5.2083333333333336E-2</v>
      </c>
      <c r="K84">
        <v>75</v>
      </c>
    </row>
  </sheetData>
  <hyperlinks>
    <hyperlink ref="E33" r:id="rId1" xr:uid="{8C3182DD-4A5E-4029-88EC-FB55AD8CC037}"/>
    <hyperlink ref="E72" r:id="rId2" xr:uid="{1A951E52-A180-45BC-8240-F54FC3A9B4C3}"/>
  </hyperlinks>
  <pageMargins left="0.7" right="0.7" top="0.78740157499999996" bottom="0.78740157499999996"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Tabelle1</vt:lpstr>
      <vt:lpstr>scrape transform</vt:lpstr>
      <vt:lpstr>scrape 02AUG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Patrick Kasiala</cp:lastModifiedBy>
  <dcterms:created xsi:type="dcterms:W3CDTF">2022-07-30T16:04:03Z</dcterms:created>
  <dcterms:modified xsi:type="dcterms:W3CDTF">2022-08-02T13:29:16Z</dcterms:modified>
</cp:coreProperties>
</file>
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C:\Users\Patrick\Desktop\Dev\vorneLinks\js13kpwa\data\"/>
    </mc:Choice>
  </mc:AlternateContent>
  <xr:revisionPtr revIDLastSave="0" documentId="13_ncr:1_{40E9B8BB-75C7-4D71-9A1C-434E1175104E}" xr6:coauthVersionLast="47" xr6:coauthVersionMax="47" xr10:uidLastSave="{00000000-0000-0000-0000-000000000000}"/>
  <bookViews>
    <workbookView xWindow="-28920" yWindow="-120" windowWidth="29040" windowHeight="15840" activeTab="1" xr2:uid="{8F867250-BE43-4377-BA07-261631E972D4}"/>
  </bookViews>
  <sheets>
    <sheet name="Tabelle1" sheetId="1" r:id="rId1"/>
    <sheet name="scrape transform" sheetId="2" r:id="rId2"/>
    <sheet name="scrape 02AUG" sheetId="3" r:id="rId3"/>
  </sheets>
  <definedNames>
    <definedName name="_xlnm._FilterDatabase" localSheetId="2" hidden="1">'scrape 02AUG'!$A$1:$I$84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62" i="3" l="1"/>
  <c r="H62" i="3"/>
  <c r="I62" i="3" s="1"/>
  <c r="J31" i="3"/>
  <c r="H31" i="3"/>
  <c r="J32" i="3"/>
  <c r="H32" i="3"/>
  <c r="J30" i="3"/>
  <c r="H30" i="3"/>
  <c r="J29" i="3"/>
  <c r="H29" i="3"/>
  <c r="J84" i="3"/>
  <c r="J80" i="3"/>
  <c r="J78" i="3"/>
  <c r="J75" i="3"/>
  <c r="J71" i="3"/>
  <c r="J69" i="3"/>
  <c r="J68" i="3"/>
  <c r="J66" i="3"/>
  <c r="J64" i="3"/>
  <c r="J63" i="3"/>
  <c r="J61" i="3"/>
  <c r="J59" i="3"/>
  <c r="J58" i="3"/>
  <c r="J55" i="3"/>
  <c r="J54" i="3"/>
  <c r="J52" i="3"/>
  <c r="J51" i="3"/>
  <c r="J50" i="3"/>
  <c r="J49" i="3"/>
  <c r="J47" i="3"/>
  <c r="J45" i="3"/>
  <c r="J44" i="3"/>
  <c r="J43" i="3"/>
  <c r="J42" i="3"/>
  <c r="J39" i="3"/>
  <c r="J38" i="3"/>
  <c r="J36" i="3"/>
  <c r="J26" i="3"/>
  <c r="J24" i="3"/>
  <c r="J23" i="3"/>
  <c r="J22" i="3"/>
  <c r="J19" i="3"/>
  <c r="J16" i="3"/>
  <c r="J15" i="3"/>
  <c r="J13" i="3"/>
  <c r="J11" i="3"/>
  <c r="J9" i="3"/>
  <c r="J7" i="3"/>
  <c r="J5" i="3"/>
  <c r="J3" i="3"/>
  <c r="J72" i="3"/>
  <c r="H72" i="3"/>
  <c r="J33" i="3"/>
  <c r="H33" i="3"/>
  <c r="J83" i="3"/>
  <c r="J82" i="3"/>
  <c r="J81" i="3"/>
  <c r="J79" i="3"/>
  <c r="J77" i="3"/>
  <c r="J76" i="3"/>
  <c r="J74" i="3"/>
  <c r="J73" i="3"/>
  <c r="J70" i="3"/>
  <c r="J67" i="3"/>
  <c r="J65" i="3"/>
  <c r="J60" i="3"/>
  <c r="J57" i="3"/>
  <c r="J56" i="3"/>
  <c r="J53" i="3"/>
  <c r="J48" i="3"/>
  <c r="J46" i="3"/>
  <c r="J41" i="3"/>
  <c r="J40" i="3"/>
  <c r="J37" i="3"/>
  <c r="J35" i="3"/>
  <c r="J34" i="3"/>
  <c r="J28" i="3"/>
  <c r="J27" i="3"/>
  <c r="J25" i="3"/>
  <c r="J21" i="3"/>
  <c r="J20" i="3"/>
  <c r="J18" i="3"/>
  <c r="J17" i="3"/>
  <c r="J14" i="3"/>
  <c r="J12" i="3"/>
  <c r="J10" i="3"/>
  <c r="J8" i="3"/>
  <c r="J6" i="3"/>
  <c r="J4" i="3"/>
  <c r="J2" i="3"/>
  <c r="H66" i="3"/>
  <c r="H51" i="3"/>
  <c r="H20" i="3"/>
  <c r="H16" i="3"/>
  <c r="H39" i="3"/>
  <c r="H69" i="3"/>
  <c r="H6" i="3"/>
  <c r="H35" i="3"/>
  <c r="H27" i="3"/>
  <c r="H79" i="3"/>
  <c r="H18" i="3"/>
  <c r="H5" i="3"/>
  <c r="H17" i="3"/>
  <c r="I17" i="3" s="1"/>
  <c r="H64" i="3"/>
  <c r="H24" i="3"/>
  <c r="I24" i="3" s="1"/>
  <c r="H80" i="3"/>
  <c r="H25" i="3"/>
  <c r="H7" i="3"/>
  <c r="H70" i="3"/>
  <c r="H81" i="3"/>
  <c r="H58" i="3"/>
  <c r="H50" i="3"/>
  <c r="H11" i="3"/>
  <c r="H56" i="3"/>
  <c r="H36" i="3"/>
  <c r="H67" i="3"/>
  <c r="I67" i="3" s="1"/>
  <c r="H42" i="3"/>
  <c r="H45" i="3"/>
  <c r="H60" i="3"/>
  <c r="H19" i="3"/>
  <c r="H12" i="3"/>
  <c r="H68" i="3"/>
  <c r="H21" i="3"/>
  <c r="H9" i="3"/>
  <c r="H44" i="3"/>
  <c r="H3" i="3"/>
  <c r="H78" i="3"/>
  <c r="H34" i="3"/>
  <c r="H57" i="3"/>
  <c r="I57" i="3" s="1"/>
  <c r="H48" i="3"/>
  <c r="H14" i="3"/>
  <c r="H73" i="3"/>
  <c r="H2" i="3"/>
  <c r="H23" i="3"/>
  <c r="H10" i="3"/>
  <c r="H37" i="3"/>
  <c r="H4" i="3"/>
  <c r="I4" i="3" s="1"/>
  <c r="H55" i="3"/>
  <c r="H38" i="3"/>
  <c r="H65" i="3"/>
  <c r="H83" i="3"/>
  <c r="I83" i="3" s="1"/>
  <c r="H75" i="3"/>
  <c r="H59" i="3"/>
  <c r="H82" i="3"/>
  <c r="I82" i="3" s="1"/>
  <c r="H84" i="3"/>
  <c r="H13" i="3"/>
  <c r="H76" i="3"/>
  <c r="H43" i="3"/>
  <c r="H15" i="3"/>
  <c r="H8" i="3"/>
  <c r="H40" i="3"/>
  <c r="H26" i="3"/>
  <c r="H77" i="3"/>
  <c r="H71" i="3"/>
  <c r="H47" i="3"/>
  <c r="H41" i="3"/>
  <c r="H28" i="3"/>
  <c r="H74" i="3"/>
  <c r="H63" i="3"/>
  <c r="H49" i="3"/>
  <c r="H53" i="3"/>
  <c r="H46" i="3"/>
  <c r="I46" i="3" s="1"/>
  <c r="H22" i="3"/>
  <c r="H61" i="3"/>
  <c r="H54" i="3"/>
  <c r="H52" i="3"/>
  <c r="I63" i="3" l="1"/>
  <c r="I44" i="3"/>
  <c r="I31" i="3"/>
  <c r="I32" i="3"/>
  <c r="I30" i="3"/>
  <c r="I29" i="3"/>
  <c r="I47" i="3"/>
  <c r="I55" i="3"/>
  <c r="I80" i="3"/>
  <c r="I5" i="3"/>
  <c r="I16" i="3"/>
  <c r="I9" i="3"/>
  <c r="I69" i="3"/>
  <c r="I41" i="3"/>
  <c r="I42" i="3"/>
  <c r="I66" i="3"/>
  <c r="I52" i="3"/>
  <c r="I59" i="3"/>
  <c r="I13" i="3"/>
  <c r="I22" i="3"/>
  <c r="I50" i="3"/>
  <c r="I78" i="3"/>
  <c r="I38" i="3"/>
  <c r="I15" i="3"/>
  <c r="I75" i="3"/>
  <c r="I36" i="3"/>
  <c r="I49" i="3"/>
  <c r="I11" i="3"/>
  <c r="I26" i="3"/>
  <c r="I45" i="3"/>
  <c r="I58" i="3"/>
  <c r="I71" i="3"/>
  <c r="I7" i="3"/>
  <c r="I23" i="3"/>
  <c r="I43" i="3"/>
  <c r="I54" i="3"/>
  <c r="I68" i="3"/>
  <c r="I61" i="3"/>
  <c r="I33" i="3"/>
  <c r="I3" i="3"/>
  <c r="I19" i="3"/>
  <c r="I39" i="3"/>
  <c r="I51" i="3"/>
  <c r="I64" i="3"/>
  <c r="I84" i="3"/>
  <c r="I6" i="3"/>
  <c r="I14" i="3"/>
  <c r="I21" i="3"/>
  <c r="I56" i="3"/>
  <c r="I35" i="3"/>
  <c r="I60" i="3"/>
  <c r="I81" i="3"/>
  <c r="I77" i="3"/>
  <c r="I72" i="3"/>
  <c r="I53" i="3"/>
  <c r="I48" i="3"/>
  <c r="I37" i="3"/>
  <c r="I79" i="3"/>
  <c r="I73" i="3"/>
  <c r="I74" i="3"/>
  <c r="I76" i="3"/>
  <c r="I10" i="3"/>
  <c r="I27" i="3"/>
  <c r="I70" i="3"/>
  <c r="I65" i="3"/>
  <c r="I40" i="3"/>
  <c r="I34" i="3"/>
  <c r="I25" i="3"/>
  <c r="I2" i="3"/>
  <c r="I18" i="3"/>
  <c r="I8" i="3"/>
  <c r="I12" i="3"/>
  <c r="I20" i="3"/>
  <c r="I28" i="3"/>
</calcChain>
</file>

<file path=xl/sharedStrings.xml><?xml version="1.0" encoding="utf-8"?>
<sst xmlns="http://schemas.openxmlformats.org/spreadsheetml/2006/main" count="838" uniqueCount="471">
  <si>
    <t>id</t>
  </si>
  <si>
    <t>name</t>
  </si>
  <si>
    <t>location</t>
  </si>
  <si>
    <t>start</t>
  </si>
  <si>
    <t>end</t>
  </si>
  <si>
    <t>type</t>
  </si>
  <si>
    <t>info</t>
  </si>
  <si>
    <t>mfwLink</t>
  </si>
  <si>
    <t>Eine rosa Kaugummiblase im Westernhemd. So klingt «Return», der Erstling von Katy J Pearson. Süsse Melodien mit akzentuiertem 70s Texas-Mom-Gesang begeistern, ohne auch nur eine Note lang plump zu wirken. Dazu kommt lebhaft durchdachtes und dabei erfreulich unverkopftes Songwriting. So klingt die 26-Jährige aus dem Südwesten England – wir sind seit zwei Jahren grosse Fans. Dass die erste Schweizer Show der Britin gleichzeitig das erste Konzert auf der Steibibühne seit knapp drei Jahren sein wird, passt da doch perfekt ins schiefe Bild der alten neuen Normalität. Katy bringt unsere Festivalseele wieder ins Gleichgewicht: Man wird uns und Winterthur «So come on fix me up, come on and fix me up» rufen hören.</t>
  </si>
  <si>
    <t>https://musikfestwochen.ch/acts/katy-j-pearson-uk/</t>
  </si>
  <si>
    <t>Style</t>
  </si>
  <si>
    <t>Folk, Country</t>
  </si>
  <si>
    <t>MINYO CRUSADERS</t>
  </si>
  <si>
    <t>Min’yō-Lieder, tief verwurzelt in der Historie der Arbeiterklasse, gehören praktisch zur japanischen DNA. So weit der Ursprung der Minyo Crusaders. Was das zehnköpfige Kollektiv jedoch daraus bastelt, ist schon fast vertonter Irrwitz. Traditionelle Melodien im musikalischen Kleid von Latin, Cumbia, äthiopischem Jazz, Thai-Pop, Afro-Funk und Reggae. Wir stellen die schubladenloseste Truhe auf und sortieren einfach mal gar nichts ein, sondern staunen lieber mit Augen und Ohren!</t>
  </si>
  <si>
    <t>Min'yō, Cumbia, Thai Pop</t>
  </si>
  <si>
    <t>https://musikfestwochen.ch/acts/minyo-crusaders-jp/</t>
  </si>
  <si>
    <t>KATY J PEARSON</t>
  </si>
  <si>
    <t>ANOUCHKA GWEN</t>
  </si>
  <si>
    <t>Neo Soul</t>
  </si>
  <si>
    <t>https://musikfestwochen.ch/acts/anouchka-gwen-ch/</t>
  </si>
  <si>
    <t>«Melancholisch, romantisch und vielleicht ein bisschen kritisch», so beschreibt Anouchka Gwen ihre Musik. Im neuen Album «Utopia» beschäftigt sie sich mit Akzeptanz, Repräsentation, Awareness und Gefühlen. In neuer Formation unterwegs, bringt sie ihre Zuhörer:innen mit ihrem träumerischen, bassigen Sound zum Wippen, Hüftschwingen und zum Träumen. RnB mit einer Prise Pop und Neo-Soul. Mit Hammerstimme und Haltung sorgt die Basler Neo-Soulerin für Vorfreude im Festivalbüro.</t>
  </si>
  <si>
    <t>ANAÏS MITCHELL</t>
  </si>
  <si>
    <t>Wenn du vom Glück geküsst wirst. Die aus Vermont stammende achtfache Tony- und Grammy-prämierte Singer-Songwriterin Anaïs Mitchell (Hadestown, Bonny Light Horseman, Big Red Machine), von NPR als «eine der grössten Songwriterinnen ihrer Generation» bezeichnet, ist eine Weltmeisterin des erzählenden Folksongs, der Poesie und der Ballade. Der Musikexpress zückt die seltene 5-Sterne-Bewertungstafel und konstatiert, dass Americana «mit Mitchell ihre nächste grosse Erzählerin gefunden hat». Die berührende Songpoetinnen-Sensibilität erinnert in Teilen an ihre Namensvetterin Joni Mitchell. Und hat für die Albumaufnahmen Freunde wie Justin Vernon (Bon Iver, Big Red Machine) oder Aaron und Bryce Dessner (The National) an ihrer Seite hat. An dieser möchten wir noch mal an den Einleitungssatz erinnern und eines festhalten: Es ist uns eine ehrliche Ehre, diese grosse Ausnahmekünstlerin an den Musikfestwochen begrüssen zu dürfen.</t>
  </si>
  <si>
    <t>Folk, Americana</t>
  </si>
  <si>
    <t>https://musikfestwochen.ch/acts/anais-mitchell-us/</t>
  </si>
  <si>
    <t>ANDRINA BOLLINGER</t>
  </si>
  <si>
    <t>Avantgarde Pop</t>
  </si>
  <si>
    <t>Andrina Bollinger lotet Klangwelten aus. Sie entführt in eine kaleidoskopische Welt voller Gedanken und Geheimnisse. Die ehrliche, bodenständige Präsenz der Bündner Multiinstrumentalistin und Sängerin trifft dabei auf eine experimentelle Mischung aus Musik, Poesie und Performance. Andrina Bollinger spielt in ihren avantgardistischen Pop-Songs sowohl Gitarre als auch Tasten- und diverse Perkussionsinstrumente. Begleitet wird sie dabei von Schlagzeuger Arthur Hnatek und Bassist Jules Martinet. Im Zentrum der Performance steht immer Andrina Bollingers einzigartig erdige und samtige Stimme, die sich sanft zwischen Singen, Schreien und Summen bewegt. Ein Konzerterlebnis, wie man es nur selten zu sehen und zu hören bekommt – und das sich lohnt.</t>
  </si>
  <si>
    <t>https://musikfestwochen.ch/acts/andrina-bollinger-ch/</t>
  </si>
  <si>
    <t>KING KORA</t>
  </si>
  <si>
    <t>https://musikfestwochen.ch/acts/king-kora-ch/</t>
  </si>
  <si>
    <t>Im Sound der Band hat die namensgebende Kora, gespielt von Lamin Jobarteh, eine wichtige Bedeutung. Das Zupfinstrument ist der Begleiter der westafrikanischen Griots (weiblich Griottes), die singend Geschichten erzählen und Wissen an ihre Zuhörer weitergeben. Aus der Tradition hat sich ein Musikstil entwickelt, der von kleineren Gruppen bis mittleren Orchestern gepflegt wird. Auch King Kora ist eine solche Griot-Band mit multikultureller Besetzung.
Die Bandmitglieder, welche im Raum Zürich leben, begeistern das Publikum mit neuen und alten neu arrangierten Songs aus dem westafrikanischen Manding-Groove.</t>
  </si>
  <si>
    <t>Griotmusik</t>
  </si>
  <si>
    <t>LES TROIS SUISSES</t>
  </si>
  <si>
    <t>https://musikfestwochen.ch/acts/les-trois-suisses-ch/</t>
  </si>
  <si>
    <t>Jetzt stehen sie da die zwei Strassenmusiker, aber nicht in der Einkaufspassage des
Ortes sondern auf der Bühne. Resli und Pascal sind von der Kulturveranstalterin spontan ins lokale Kleintheater mit zahlendem Publikum eingeladen worden und sollen nun 90 Minuten lang ihre grössten Hits darbieten. Das ist für die beiden Vagabunden alles andere als einfach, denn ihr normales Strassen-Programm dauert bloss 25 Minuten.
Diese ungewohnte Situation zwingt die beiden zu hochstaplerischen Ausschweifungen. Sie schwadronieren über ihr abenteuerliches Strassenmusikerleben, geben haarsträubende Geschichten zum Besten, komponieren ad hoc, graben uralte Songs aus ihrem Repertoire aus und spielen sich um Hemd und Kragen.
VAGABUND ist Unterhaltung erster Güte: witzig, launig und hochmusikalisch.</t>
  </si>
  <si>
    <t>Musik-Comedy</t>
  </si>
  <si>
    <t xml:space="preserve">	1661105700</t>
  </si>
  <si>
    <t>AGENT FLIPPER</t>
  </si>
  <si>
    <t>https://musikfestwochen.ch/acts/agent-flipper-ch/</t>
  </si>
  <si>
    <t>Mit der 4-Track-EP „Jumpin’ Out The Bay“ präsentiert sich die Surf-Band AGENT FLIPPER aus Winti/Zürich. Das Trio veröffentlicht ein stilsicheres Erstlingswerk aus weitgehend instrumentalen Songs, die klanglich fast einem Tarantino-Film entsprungen sein könnten – unverhoffte Zwischenrufe und Chöre berichten dazu von Androgynität, Polizeipräsenz und überfüllten Badestränden. Die Stücke dehnen das Surf-Genre in alle Himmelsrichtungen aus: mit Spaghettiwestern-Anleihen, Hundegebell und Sirenen, orientalischen Melodien und dem von Bassistin Laura Free nonchalant vorgetragenen 21st-Century-Blues.</t>
  </si>
  <si>
    <t>ASENDORF</t>
  </si>
  <si>
    <t>https://musikfestwochen.ch/acts/asendorf-ch/</t>
  </si>
  <si>
    <t>Asendorf verpackt in seiner Musik authentisch und gefühlvoll die eigene Sicht auf das Leben. Er macht sich nahbar und schafft es, Ecken und Kanten preiszugeben, ohne an Leichtigkeit und Unterhaltungswert zu verlieren. Seine ausdrucksstarke Stimme und der eindringliche Sound widerspiegeln den freiheitsliebenden und tiefgründigen Charakter des Musikers. Er experimentiert mit verschiedenen Stilen, verliert dabei aber nie den roten Faden, der für Wiedererkennungswert sorgt.</t>
  </si>
  <si>
    <t>Indie Pop</t>
  </si>
  <si>
    <t>web-scraper-order</t>
  </si>
  <si>
    <t>web-scraper-start-url</t>
  </si>
  <si>
    <t>mfwLink-href</t>
  </si>
  <si>
    <t>1659438273-98</t>
  </si>
  <si>
    <t>https://musikfestwochen.ch/programm/programm-a-z/?acts_showtype=all#acts_showtype_all</t>
  </si>
  <si>
    <t>CONIGLIO CONNECTION (CH)</t>
  </si>
  <si>
    <t>https://musikfestwochen.ch/acts/coniglio-connection-ch/</t>
  </si>
  <si>
    <t>Kirchplatz</t>
  </si>
  <si>
    <t>1659438273-95</t>
  </si>
  <si>
    <t>Choose The Juice (CH)</t>
  </si>
  <si>
    <t>https://musikfestwochen.ch/acts/choose-the-juice-ch/</t>
  </si>
  <si>
    <t>Startrampe</t>
  </si>
  <si>
    <t>1659438273-152</t>
  </si>
  <si>
    <t>To Athena (CH)</t>
  </si>
  <si>
    <t>https://musikfestwochen.ch/acts/to-athena-ch/</t>
  </si>
  <si>
    <t>Stadtkirche</t>
  </si>
  <si>
    <t>1659438273-87</t>
  </si>
  <si>
    <t>Barrio Colette (CH)</t>
  </si>
  <si>
    <t>https://musikfestwochen.ch/acts/barrio-colette-ch/</t>
  </si>
  <si>
    <t>Steinberggasse</t>
  </si>
  <si>
    <t>1659438273-112</t>
  </si>
  <si>
    <t>Kalabrese &amp; Rumpelorchester (CH)</t>
  </si>
  <si>
    <t>https://musikfestwochen.ch/acts/kalabrese-rumpelorchester-ch/</t>
  </si>
  <si>
    <t>1659438273-131</t>
  </si>
  <si>
    <t>Plankton (CH)</t>
  </si>
  <si>
    <t>https://musikfestwochen.ch/acts/plankton-ch/</t>
  </si>
  <si>
    <t>1659438273-149</t>
  </si>
  <si>
    <t>Takeshi's Cashew (AT)</t>
  </si>
  <si>
    <t>https://musikfestwochen.ch/acts/takeshis-cashew-at/</t>
  </si>
  <si>
    <t>1659438273-107</t>
  </si>
  <si>
    <t>Hatepop (CH)</t>
  </si>
  <si>
    <t>https://musikfestwochen.ch/acts/hatepop-ch/</t>
  </si>
  <si>
    <t>1659438273-97</t>
  </si>
  <si>
    <t>CMAT (IRL)</t>
  </si>
  <si>
    <t>https://musikfestwochen.ch/acts/cmat-irl/</t>
  </si>
  <si>
    <t>1659438273-100</t>
  </si>
  <si>
    <t>Edwin Rosen (D)</t>
  </si>
  <si>
    <t>https://musikfestwochen.ch/acts/edwin-rosen-d/</t>
  </si>
  <si>
    <t>1659438273-145</t>
  </si>
  <si>
    <t>SKA-P (ESP)</t>
  </si>
  <si>
    <t>https://musikfestwochen.ch/acts/ska-p-esp/</t>
  </si>
  <si>
    <t>1659438273-129</t>
  </si>
  <si>
    <t>PEDRO FEAT. THE LEGACY (CH)</t>
  </si>
  <si>
    <t>https://musikfestwochen.ch/acts/pedro-feat-the-legacy-ch/</t>
  </si>
  <si>
    <t>1659438273-150</t>
  </si>
  <si>
    <t>TEKE::TEKE (CAN)</t>
  </si>
  <si>
    <t>https://musikfestwochen.ch/acts/teketeke-can/</t>
  </si>
  <si>
    <t>1659438273-105</t>
  </si>
  <si>
    <t>Ginger And The Alchemists (CH)</t>
  </si>
  <si>
    <t>https://musikfestwochen.ch/acts/ginger-and-the-alchemists-ch/</t>
  </si>
  <si>
    <t>1659438273-109</t>
  </si>
  <si>
    <t>Hoehn (CH)</t>
  </si>
  <si>
    <t>https://musikfestwochen.ch/acts/hoehn-ch/</t>
  </si>
  <si>
    <t>Gewerbemuseum Winterthur</t>
  </si>
  <si>
    <t>1659438273-121</t>
  </si>
  <si>
    <t>LÜMÉ (CH/FRA)</t>
  </si>
  <si>
    <t>https://musikfestwochen.ch/acts/lueme-ch-fra/</t>
  </si>
  <si>
    <t>Roulotte</t>
  </si>
  <si>
    <t>1659438273-141</t>
  </si>
  <si>
    <t>SILVANELLAS SEILTANZ</t>
  </si>
  <si>
    <t>https://musikfestwochen.ch/acts/silvanellas-seiltanz/</t>
  </si>
  <si>
    <t>1659438273-156</t>
  </si>
  <si>
    <t>Wu-Lu (UK)</t>
  </si>
  <si>
    <t>https://musikfestwochen.ch/acts/wu-lu-uk/</t>
  </si>
  <si>
    <t>1659438273-134</t>
  </si>
  <si>
    <t>Projekt ET (CH)</t>
  </si>
  <si>
    <t>https://musikfestwochen.ch/acts/projekt-et-ch/</t>
  </si>
  <si>
    <t>1659438273-106</t>
  </si>
  <si>
    <t>Gloria Volt (CH)</t>
  </si>
  <si>
    <t>https://musikfestwochen.ch/acts/gloria-volt-ch/</t>
  </si>
  <si>
    <t>1659438273-155</t>
  </si>
  <si>
    <t>Wet Leg (UK)</t>
  </si>
  <si>
    <t>https://musikfestwochen.ch/acts/wet-leg-uk/</t>
  </si>
  <si>
    <t>1659438273-80</t>
  </si>
  <si>
    <t>Agent Flipper (CH)</t>
  </si>
  <si>
    <t>1659438273-137</t>
  </si>
  <si>
    <t>Red Tape Redemption (CH)</t>
  </si>
  <si>
    <t>https://musikfestwochen.ch/acts/red-tape-redemption-ch/</t>
  </si>
  <si>
    <t>1659438273-144</t>
  </si>
  <si>
    <t>Sira Eigenmann (CH)</t>
  </si>
  <si>
    <t>https://musikfestwochen.ch/acts/sira-eigenmann-ch/</t>
  </si>
  <si>
    <t>1659438273-92</t>
  </si>
  <si>
    <t>Bummelkasten (D)</t>
  </si>
  <si>
    <t>https://musikfestwochen.ch/acts/bummelkasten-d/</t>
  </si>
  <si>
    <t>1659438273-118</t>
  </si>
  <si>
    <t>Lily Claire (CH)</t>
  </si>
  <si>
    <t>https://musikfestwochen.ch/acts/lily-claire-ch/</t>
  </si>
  <si>
    <t>1659438273-108</t>
  </si>
  <si>
    <t>Hathors (CH)</t>
  </si>
  <si>
    <t>https://musikfestwochen.ch/acts/hathors-ch/</t>
  </si>
  <si>
    <t>1659438273-143</t>
  </si>
  <si>
    <t>Sinead O'Brien (IRL)</t>
  </si>
  <si>
    <t>https://musikfestwochen.ch/acts/sinead-obrien-irl/</t>
  </si>
  <si>
    <t>1659438273-81</t>
  </si>
  <si>
    <t>Anaïs Mitchell (US)</t>
  </si>
  <si>
    <t>1659438273-130</t>
  </si>
  <si>
    <t>Phenomden &amp; The Scrucialists (CH)</t>
  </si>
  <si>
    <t>https://musikfestwochen.ch/acts/phenomden-ch/</t>
  </si>
  <si>
    <t>1659438273-86</t>
  </si>
  <si>
    <t>Band-it-Finale</t>
  </si>
  <si>
    <t>https://musikfestwochen.ch/acts/band-it-finale/</t>
  </si>
  <si>
    <t>1659438273-104</t>
  </si>
  <si>
    <t>French Fries (CH)</t>
  </si>
  <si>
    <t>https://musikfestwochen.ch/acts/french-fries-ch/</t>
  </si>
  <si>
    <t>1659438273-132</t>
  </si>
  <si>
    <t>POETRY SLAM ABEND</t>
  </si>
  <si>
    <t>https://musikfestwochen.ch/acts/poetry-slam-abend/</t>
  </si>
  <si>
    <t>1659438273-99</t>
  </si>
  <si>
    <t>Connie Constance (UK)</t>
  </si>
  <si>
    <t>https://musikfestwochen.ch/acts/connie-constance-uk/</t>
  </si>
  <si>
    <t>1659438273-119</t>
  </si>
  <si>
    <t>Liraz (ISR)</t>
  </si>
  <si>
    <t>https://musikfestwochen.ch/acts/liraz-isr/</t>
  </si>
  <si>
    <t>1659438273-114</t>
  </si>
  <si>
    <t>KING KORA (CH)</t>
  </si>
  <si>
    <t>1659438273-91</t>
  </si>
  <si>
    <t>Bona Rhodes (CH)</t>
  </si>
  <si>
    <t>https://musikfestwochen.ch/acts/bona-rhodes-ch/</t>
  </si>
  <si>
    <t>1659438273-140</t>
  </si>
  <si>
    <t>SCHÖN &amp; GUT</t>
  </si>
  <si>
    <t>https://musikfestwochen.ch/acts/schoen-gut-ch/</t>
  </si>
  <si>
    <t>1659438273-128</t>
  </si>
  <si>
    <t>Palma Ada (CH)</t>
  </si>
  <si>
    <t>https://musikfestwochen.ch/acts/palma-ada-ch/</t>
  </si>
  <si>
    <t>1659438273-83</t>
  </si>
  <si>
    <t>Anouchka Gwen</t>
  </si>
  <si>
    <t>1659438273-88</t>
  </si>
  <si>
    <t>Batbait (CH)</t>
  </si>
  <si>
    <t>https://musikfestwochen.ch/acts/batbait-ch/</t>
  </si>
  <si>
    <t>1659438273-116</t>
  </si>
  <si>
    <t>LELE JAVEL (CH)</t>
  </si>
  <si>
    <t>https://musikfestwochen.ch/acts/lele-javel-ch/</t>
  </si>
  <si>
    <t>1659438273-151</t>
  </si>
  <si>
    <t>The Tallest Man On Earth (SWE)</t>
  </si>
  <si>
    <t>https://musikfestwochen.ch/acts/the-tallest-man-on-earth-swe/</t>
  </si>
  <si>
    <t>1659438273-113</t>
  </si>
  <si>
    <t>Katy J Pearson (UK)</t>
  </si>
  <si>
    <t>1659438273-85</t>
  </si>
  <si>
    <t>Asendorf (CH)</t>
  </si>
  <si>
    <t>1659438273-146</t>
  </si>
  <si>
    <t>Stereo Luchs (CH)</t>
  </si>
  <si>
    <t>https://musikfestwochen.ch/acts/stereo-luchs-ch/</t>
  </si>
  <si>
    <t>1659438273-94</t>
  </si>
  <si>
    <t>Catastrophe (FR)</t>
  </si>
  <si>
    <t>https://musikfestwochen.ch/acts/catastrophe-fr/</t>
  </si>
  <si>
    <t>1659438273-111</t>
  </si>
  <si>
    <t>Jeremias (D)</t>
  </si>
  <si>
    <t>https://musikfestwochen.ch/acts/jeremias-d/</t>
  </si>
  <si>
    <t>1659438273-125</t>
  </si>
  <si>
    <t>möf (CH)</t>
  </si>
  <si>
    <t>https://musikfestwochen.ch/acts/moef-ch/</t>
  </si>
  <si>
    <t>1659438273-147</t>
  </si>
  <si>
    <t>SULP (CH)</t>
  </si>
  <si>
    <t>https://musikfestwochen.ch/acts/sulp-ch/</t>
  </si>
  <si>
    <t>1659438273-101</t>
  </si>
  <si>
    <t>Emzyg (CH)</t>
  </si>
  <si>
    <t>https://musikfestwochen.ch/acts/emzyg-ch/</t>
  </si>
  <si>
    <t>1659438273-102</t>
  </si>
  <si>
    <t>Fontaines D.C. (IRL)</t>
  </si>
  <si>
    <t>https://musikfestwochen.ch/acts/fontaines-d-c-irl/</t>
  </si>
  <si>
    <t>1659438273-153</t>
  </si>
  <si>
    <t>VERY LITTLE CIRCUS</t>
  </si>
  <si>
    <t>https://musikfestwochen.ch/acts/very-little-circus/</t>
  </si>
  <si>
    <t>1659438273-84</t>
  </si>
  <si>
    <t>Arooj Aftab (PAK)</t>
  </si>
  <si>
    <t>https://musikfestwochen.ch/acts/arooj-aftab-pak/</t>
  </si>
  <si>
    <t>1659438273-90</t>
  </si>
  <si>
    <t>Black Midi (UK)</t>
  </si>
  <si>
    <t>https://musikfestwochen.ch/acts/black-midi-uk/</t>
  </si>
  <si>
    <t>1659438273-117</t>
  </si>
  <si>
    <t>LES TROIS SUISSES (CH)</t>
  </si>
  <si>
    <t>1659438273-154</t>
  </si>
  <si>
    <t>wackel:kontakt (CH)</t>
  </si>
  <si>
    <t>https://musikfestwochen.ch/acts/wackelkontakt-ch/</t>
  </si>
  <si>
    <t>1659438273-136</t>
  </si>
  <si>
    <t>Rantanplan (D)</t>
  </si>
  <si>
    <t>https://musikfestwochen.ch/acts/rantanplan-d/</t>
  </si>
  <si>
    <t>1659438273-93</t>
  </si>
  <si>
    <t>Büro (CH)</t>
  </si>
  <si>
    <t>https://musikfestwochen.ch/acts/buero-ch/</t>
  </si>
  <si>
    <t>1659438273-110</t>
  </si>
  <si>
    <t>HORA'BAND (CH)</t>
  </si>
  <si>
    <t>https://musikfestwochen.ch/acts/horaband-ch/</t>
  </si>
  <si>
    <t>1659438273-122</t>
  </si>
  <si>
    <t>MALMZEIT (CH)</t>
  </si>
  <si>
    <t>https://musikfestwochen.ch/acts/malmzeit-ch/</t>
  </si>
  <si>
    <t>1659438273-139</t>
  </si>
  <si>
    <t>Sad Night Dynamite (UK)</t>
  </si>
  <si>
    <t>https://musikfestwochen.ch/acts/sad-night-dynamite-uk/</t>
  </si>
  <si>
    <t>1659438273-124</t>
  </si>
  <si>
    <t>Minyo Crusaders (JP)</t>
  </si>
  <si>
    <t>1659438273-82</t>
  </si>
  <si>
    <t>Andrina Bollinger (CH)</t>
  </si>
  <si>
    <t>1659438273-138</t>
  </si>
  <si>
    <t>Russkaja (AT)</t>
  </si>
  <si>
    <t>https://musikfestwochen.ch/acts/russkaja-at/</t>
  </si>
  <si>
    <t>1659438273-120</t>
  </si>
  <si>
    <t>Los Dos (CH)</t>
  </si>
  <si>
    <t>https://musikfestwochen.ch/acts/los-dos-ch/</t>
  </si>
  <si>
    <t>1659438273-123</t>
  </si>
  <si>
    <t>Mel D (CH)</t>
  </si>
  <si>
    <t>https://musikfestwochen.ch/acts/mel-d-ch/</t>
  </si>
  <si>
    <t>1659438273-133</t>
  </si>
  <si>
    <t>Porridge Radio (UK)</t>
  </si>
  <si>
    <t>https://musikfestwochen.ch/acts/porridge-radio-uk/</t>
  </si>
  <si>
    <t>1659438273-135</t>
  </si>
  <si>
    <t>Psycho Weazel live (CH)</t>
  </si>
  <si>
    <t>https://musikfestwochen.ch/acts/psycho-weazel-live-ch/</t>
  </si>
  <si>
    <t>1659438273-115</t>
  </si>
  <si>
    <t>Kings of Convenience (NOR)</t>
  </si>
  <si>
    <t>https://musikfestwochen.ch/acts/kings-of-convenience-nor/</t>
  </si>
  <si>
    <t>1659438273-127</t>
  </si>
  <si>
    <t>Nichtseattle (D)</t>
  </si>
  <si>
    <t>https://musikfestwochen.ch/acts/nichtseattle-d/</t>
  </si>
  <si>
    <t>1659438273-148</t>
  </si>
  <si>
    <t>Swingscouts Crash-Tanzkurs</t>
  </si>
  <si>
    <t>https://musikfestwochen.ch/acts/swingscouts-crash-tanzkurs/</t>
  </si>
  <si>
    <t>1659438273-96</t>
  </si>
  <si>
    <t>Cleopatrick (CAN)</t>
  </si>
  <si>
    <t>https://musikfestwochen.ch/acts/cleopatrick-can/</t>
  </si>
  <si>
    <t>1659438273-89</t>
  </si>
  <si>
    <t>Black Country, New Road (UK)</t>
  </si>
  <si>
    <t>https://musikfestwochen.ch/acts/black-country-new-road-uk/</t>
  </si>
  <si>
    <t>1659438273-103</t>
  </si>
  <si>
    <t>Fräulein Luise</t>
  </si>
  <si>
    <t>https://musikfestwochen.ch/acts/fraeulein-luise-ch/</t>
  </si>
  <si>
    <t>1659438273-126</t>
  </si>
  <si>
    <t>MOKOŠ (CH)</t>
  </si>
  <si>
    <t>https://musikfestwochen.ch/acts/mokos-ch/</t>
  </si>
  <si>
    <t>1659438273-142</t>
  </si>
  <si>
    <t>SIMON CHEN (CH)</t>
  </si>
  <si>
    <t>https://musikfestwochen.ch/acts/simon-chen-ch/</t>
  </si>
  <si>
    <t>location ID</t>
  </si>
  <si>
    <t>start unix</t>
  </si>
  <si>
    <t>end unix</t>
  </si>
  <si>
    <t>style</t>
  </si>
  <si>
    <t xml:space="preserve">CONIGLIO CONNECTION </t>
  </si>
  <si>
    <t xml:space="preserve">Choose The Juice </t>
  </si>
  <si>
    <t xml:space="preserve">To Athena </t>
  </si>
  <si>
    <t xml:space="preserve">Barrio Colette </t>
  </si>
  <si>
    <t xml:space="preserve">Kalabrese &amp; Rumpelorchester </t>
  </si>
  <si>
    <t xml:space="preserve">Plankton </t>
  </si>
  <si>
    <t xml:space="preserve">Takeshi's Cashew </t>
  </si>
  <si>
    <t xml:space="preserve">Hatepop </t>
  </si>
  <si>
    <t xml:space="preserve">PEDRO FEAT. THE LEGACY </t>
  </si>
  <si>
    <t xml:space="preserve">Ginger And The Alchemists </t>
  </si>
  <si>
    <t xml:space="preserve">Hoehn </t>
  </si>
  <si>
    <t xml:space="preserve">Wu-Lu </t>
  </si>
  <si>
    <t xml:space="preserve">Projekt ET </t>
  </si>
  <si>
    <t xml:space="preserve">Gloria Volt </t>
  </si>
  <si>
    <t xml:space="preserve">Wet Leg </t>
  </si>
  <si>
    <t xml:space="preserve">Agent Flipper </t>
  </si>
  <si>
    <t xml:space="preserve">Red Tape Redemption </t>
  </si>
  <si>
    <t xml:space="preserve">Sira Eigenmann </t>
  </si>
  <si>
    <t xml:space="preserve">Lily Claire </t>
  </si>
  <si>
    <t xml:space="preserve">Hathors </t>
  </si>
  <si>
    <t xml:space="preserve">Anaïs Mitchell </t>
  </si>
  <si>
    <t xml:space="preserve">Phenomden &amp; The Scrucialists </t>
  </si>
  <si>
    <t xml:space="preserve">French Fries </t>
  </si>
  <si>
    <t xml:space="preserve">Connie Constance </t>
  </si>
  <si>
    <t xml:space="preserve">KING KORA </t>
  </si>
  <si>
    <t xml:space="preserve">Bona Rhodes </t>
  </si>
  <si>
    <t xml:space="preserve">Palma Ada </t>
  </si>
  <si>
    <t xml:space="preserve">Batbait </t>
  </si>
  <si>
    <t xml:space="preserve">LELE JAVEL </t>
  </si>
  <si>
    <t xml:space="preserve">Katy J Pearson </t>
  </si>
  <si>
    <t xml:space="preserve">Asendorf </t>
  </si>
  <si>
    <t xml:space="preserve">Stereo Luchs </t>
  </si>
  <si>
    <t xml:space="preserve">Catastrophe </t>
  </si>
  <si>
    <t xml:space="preserve">möf </t>
  </si>
  <si>
    <t xml:space="preserve">SULP </t>
  </si>
  <si>
    <t xml:space="preserve">Emzyg </t>
  </si>
  <si>
    <t xml:space="preserve">Black Midi </t>
  </si>
  <si>
    <t xml:space="preserve">LES TROIS SUISSES </t>
  </si>
  <si>
    <t xml:space="preserve">wackel:kontakt </t>
  </si>
  <si>
    <t xml:space="preserve">Büro </t>
  </si>
  <si>
    <t xml:space="preserve">HORA'BAND </t>
  </si>
  <si>
    <t xml:space="preserve">MALMZEIT </t>
  </si>
  <si>
    <t xml:space="preserve">Sad Night Dynamite </t>
  </si>
  <si>
    <t xml:space="preserve">Minyo Crusaders </t>
  </si>
  <si>
    <t xml:space="preserve">Andrina Bollinger </t>
  </si>
  <si>
    <t xml:space="preserve">Russkaja </t>
  </si>
  <si>
    <t xml:space="preserve">Los Dos </t>
  </si>
  <si>
    <t xml:space="preserve">Mel D </t>
  </si>
  <si>
    <t xml:space="preserve">Porridge Radio </t>
  </si>
  <si>
    <t xml:space="preserve">Psycho Weazel live </t>
  </si>
  <si>
    <t xml:space="preserve">Black Country, New Road </t>
  </si>
  <si>
    <t xml:space="preserve">MOKOŠ </t>
  </si>
  <si>
    <t xml:space="preserve">SIMON CHEN </t>
  </si>
  <si>
    <t xml:space="preserve">CMAT </t>
  </si>
  <si>
    <t xml:space="preserve">Edwin Rosen </t>
  </si>
  <si>
    <t xml:space="preserve">SKA-P </t>
  </si>
  <si>
    <t xml:space="preserve">TEKE::TEKE </t>
  </si>
  <si>
    <t xml:space="preserve">LÜMÉ </t>
  </si>
  <si>
    <t xml:space="preserve">Bummelkasten </t>
  </si>
  <si>
    <t xml:space="preserve">Sinead O'Brien </t>
  </si>
  <si>
    <t xml:space="preserve">Liraz </t>
  </si>
  <si>
    <t xml:space="preserve">The Tallest Man On Earth </t>
  </si>
  <si>
    <t xml:space="preserve">Jeremias </t>
  </si>
  <si>
    <t xml:space="preserve">Fontaines D.C. </t>
  </si>
  <si>
    <t xml:space="preserve">Arooj Aftab </t>
  </si>
  <si>
    <t xml:space="preserve">Rantanplan </t>
  </si>
  <si>
    <t xml:space="preserve">Kings of Convenience </t>
  </si>
  <si>
    <t xml:space="preserve">Nichtseattle </t>
  </si>
  <si>
    <t xml:space="preserve">Cleopatrick </t>
  </si>
  <si>
    <t>startformat</t>
  </si>
  <si>
    <t>Dienstag 16.08.2022 20:15</t>
  </si>
  <si>
    <t>Donnerstag 18.08.2022 19:15</t>
  </si>
  <si>
    <t>Dienstag 16.08.2022 19:45</t>
  </si>
  <si>
    <t>Samstag 13.08.2022 18:00</t>
  </si>
  <si>
    <t>Freitag 12.08.2022 20:30</t>
  </si>
  <si>
    <t>Sonntag 14.08.2022 20:30</t>
  </si>
  <si>
    <t>Donnerstag 18.08.2022 20:30</t>
  </si>
  <si>
    <t>Donnerstag 11.08.2022 18:30</t>
  </si>
  <si>
    <t>Sonntag 14.08.2022 17:15</t>
  </si>
  <si>
    <t>Samstag 13.08.2022 21:45</t>
  </si>
  <si>
    <t>Samstag 20.08.2022 22:00</t>
  </si>
  <si>
    <t>Freitag 12.08.2022 23:00</t>
  </si>
  <si>
    <t>Mittwoch 10.08.2022 20:30</t>
  </si>
  <si>
    <t>Freitag 12.08.2022 21:15</t>
  </si>
  <si>
    <t>Donnerstag 18.08.2022 11:45</t>
  </si>
  <si>
    <t>Samstag 13.08.2022 20:15</t>
  </si>
  <si>
    <t>Sonntag 21.08.2022 14:00</t>
  </si>
  <si>
    <t>Samstag 13.08.2022 20:30</t>
  </si>
  <si>
    <t>Donnerstag 11.08.2022 19:15</t>
  </si>
  <si>
    <t>Donnerstag 18.08.2022 21:30</t>
  </si>
  <si>
    <t>Sonntag 21.08.2022 16:45</t>
  </si>
  <si>
    <t>Mittwoch 17.08.2022 19:30</t>
  </si>
  <si>
    <t>Dienstag 16.08.2022 19:30</t>
  </si>
  <si>
    <t>Freitag 12.08.2022 11:45</t>
  </si>
  <si>
    <t>Mittwoch 17.08.2022 15:00</t>
  </si>
  <si>
    <t>Sonntag 14.08.2022 18:15</t>
  </si>
  <si>
    <t>Donnerstag 18.08.2022 20:00</t>
  </si>
  <si>
    <t>Montag 15.08.2022 19:45</t>
  </si>
  <si>
    <t>Montag 15.08.2022 20:30</t>
  </si>
  <si>
    <t>Mittwoch 17.08.2022 20:15</t>
  </si>
  <si>
    <t>Samstag 13.08.2022 14:00</t>
  </si>
  <si>
    <t>Freitag 12.08.2022 18:30</t>
  </si>
  <si>
    <t>Donnerstag 18.08.2022 20:15</t>
  </si>
  <si>
    <t>Samstag 13.08.2022 19:10</t>
  </si>
  <si>
    <t>Donnerstag 11.08.2022 20:30</t>
  </si>
  <si>
    <t>Montag 15.08.2022 20:15</t>
  </si>
  <si>
    <t>Mittwoch 10.08.2022 19:30</t>
  </si>
  <si>
    <t>Samstag 20.08.2022 20:15</t>
  </si>
  <si>
    <t>Sonntag 14.08.2022 16:00</t>
  </si>
  <si>
    <t>Mittwoch 17.08.2022 18:45</t>
  </si>
  <si>
    <t>Dienstag 16.08.2022 18:45</t>
  </si>
  <si>
    <t>Freitag 12.08.2022 20:00</t>
  </si>
  <si>
    <t>Freitag 19.08.2022 20:40</t>
  </si>
  <si>
    <t>Mittwoch 10.08.2022 18:30</t>
  </si>
  <si>
    <t>Donnerstag 11.08.2022 21:30</t>
  </si>
  <si>
    <t>Sonntag 14.08.2022 19:00</t>
  </si>
  <si>
    <t>Mittwoch 10.08.2022 20:15</t>
  </si>
  <si>
    <t>Mittwoch 17.08.2022 11:45</t>
  </si>
  <si>
    <t>Sonntag 14.08.2022 20:15</t>
  </si>
  <si>
    <t>Donnerstag 18.08.2022 18:30</t>
  </si>
  <si>
    <t>Sonntag 21.08.2022 20:00</t>
  </si>
  <si>
    <t>Samstag 20.08.2022 14:00</t>
  </si>
  <si>
    <t>Mittwoch 17.08.2022 19:45</t>
  </si>
  <si>
    <t>Sonntag 21.08.2022 18:15</t>
  </si>
  <si>
    <t>Sonntag 21.08.2022 20:15</t>
  </si>
  <si>
    <t>Freitag 12.08.2022 19:15</t>
  </si>
  <si>
    <t>Samstag 20.08.2022 18:45</t>
  </si>
  <si>
    <t>Sonntag 14.08.2022 15:00</t>
  </si>
  <si>
    <t>Freitag 12.08.2022 20:15</t>
  </si>
  <si>
    <t>Donnerstag 11.08.2022 20:00</t>
  </si>
  <si>
    <t>Samstag 13.08.2022 20:45</t>
  </si>
  <si>
    <t>Samstag 20.08.2022 20:00</t>
  </si>
  <si>
    <t>Freitag 19.08.2022 20:15</t>
  </si>
  <si>
    <t>Dienstag 16.08.2022 11:45</t>
  </si>
  <si>
    <t>Montag 15.08.2022 18:45</t>
  </si>
  <si>
    <t>Samstag 13.08.2022 23:00</t>
  </si>
  <si>
    <t>Freitag 19.08.2022 22:30</t>
  </si>
  <si>
    <t>Mittwoch 17.08.2022 20:30</t>
  </si>
  <si>
    <t>Dienstag 16.08.2022 19:15</t>
  </si>
  <si>
    <t>Samstag 13.08.2022 19:30</t>
  </si>
  <si>
    <t>Matinée der Musikschulen</t>
  </si>
  <si>
    <t>https://musikfestwochen.ch/acts/matinee-der-musikschulen/</t>
  </si>
  <si>
    <t>Sonntag 14.08.2022 12:00</t>
  </si>
  <si>
    <t>Grace Cummings</t>
  </si>
  <si>
    <t>Donnerstag 18.08.2022 19:30</t>
  </si>
  <si>
    <t>https://musikfestwochen.ch/acts/grace-cummings-aus/</t>
  </si>
  <si>
    <t>Kindermalen</t>
  </si>
  <si>
    <t>Sonntag 14.08.2022 14:00</t>
  </si>
  <si>
    <t>Rundum Familine Plausch</t>
  </si>
  <si>
    <t>Theatersport</t>
  </si>
  <si>
    <t>Sonntag 14.08.2022 16:30</t>
  </si>
  <si>
    <t>Sonntag 17.08.2022 14:00</t>
  </si>
  <si>
    <t>Samstag 13.08.2022 19:50</t>
  </si>
  <si>
    <t>1</t>
  </si>
  <si>
    <t>Folk,Country</t>
  </si>
  <si>
    <t>Eine alte Zigarrenschachtel am Monomontag legte den Grundstein für dieses feine kleine Indie Folk Trio, das mit charmanten Erzählungen und gefühlvollen Arrangements zu überzeugen weiss.
Zu den drei ineinander verwobenen Stimmen gesellen sich akustische Instrumente und werden zu einem Teppich, auf dem Bona Rhodes zart rebellierend ihr Publikum umhüllen.</t>
  </si>
  <si>
    <t>Indie-Pop</t>
  </si>
  <si>
    <t>Szenen aus dem Leben des MFW-Bookers, wenn er Jeremias hört: Hat mich jemand beim Tänzeln im Homeoffice gesehen? Habe ich beim Spazierengehen zu laut mitgeträllert? Bin ich cringe? Klare Antwort: Egal! Guter Pop darf und soll sowas bewirken. Das ist sogar sein Job, sozusagen. Zu Jeremias: Das Top-10-Debutalbum des Quartetts um Namensgeber, Sänger und Pianist Jeremias Heimbach war 2021 einer der musikalischen Lichtblicke. Elf Tracks, die jeder eine Geschichte für sich erzählen, musikalisch und textlich ausgereift sind. Es geht viel um jugendliche Sehnsucht und um das Weglaufen. Jeremias posieren, sind unbeschwert, finden Funk cool. Ihr Sound ist tanzbar und sexy, reduziert und groovend zugleich, manchmal theatralisch. Sie leben so, wie sie wollen, schreiben darüber und spielen das dann einfach. Nicht mehr und nicht weniger.</t>
  </si>
  <si>
    <t>Punk Psych,Surf Rock</t>
  </si>
  <si>
    <t>In einem kleinen Landhaus in Kanada sitzen sieben Personen gemeinsam im Studio: Hidetaka Yoneyama aus London ist Japanischlehrer und Bassist. Neben ihm sitzt Etienne Lebel aus Okanagan Falls. Er spielt Posaune und ist Experte für bulgarische Kultur. Yuki Isami spielt Querflöte und ist professionelle Synchronschwimmerin. Ian Lettre an den Drums ist Jazz-Virtuose. Mishka Stein aus der Ukraine spielt lässig die E-Gitarre. Maya Kuroki schreibt Gedichte und singt, und Serge Nakauchi-Pelletier bringt leidenschaftlich Hip-Hop-Einflüsse in den Mix. Was bei sowas am Ende wohl rauskommt? Das Debutalbum «Shirushi» von TEKE::TEKE. Eine klangliche Achterbahnfahrt von Punk-Psych, Surf-Rock Riffs bis hin zu mystischen Flöten. Kurzum: Die Kanadier:innen sind unfassbar vielfältig und somit mehr als prädestiniert für den Eröffnungsabend der 47. Winterthurer Musikfestwochen.</t>
  </si>
  <si>
    <t>Hip-Hop</t>
  </si>
  <si>
    <t>«Kaputte Musik für kaputte Menschen», so fasst das Lyrics-Magazin die Musik von Hatepop zusammen. Auf ihrem Debütalbum «¥UNG FUCKUP$» geht es um Drogen, Orientierungslosigkeit, Einsamkeit, Melancholie und Scheitern, kurz: um die dunklen Seiten der eigenen Existenz. Das Kollektiv will damit nicht gefallen, sondern der Leistungsgesellschaft den Spiegel vorhalten – genauso, wie es Kollektivmitglied Jessica Jurassica in ihrem Debütroman «Das Ideal des Kaputten» tat. Die Industrial-Trap-Songs von Hatepop sind eine elaborierte Form von Kritik an diskriminierenden und toxischen Mechanismen. Dass es anders geht, wird vorgelebt: Hatepop ist als Kollektiv organisiert, die kreativen und ideellen Entscheidungen treffen die Mitglieder nicht als Einzelpersonen, sondern immer gemeinsam.</t>
  </si>
  <si>
    <t>Erdbeertörtli, ein Wort, das vor allem in unserem breiten Ostschweizer Dialekt phänomenal klingt. ÄODBEOTÖOTLI (ɛɒpe:ɒtəɒtli). Projekt ET kommen vom Planet Erdbeertörtli. Oder gleich mit dem gesamten ET-Planeten. Ihr Debüt-Album entpuppt sich als eine abwechslungsreiche, gesellschaftskritische und dennoch witzige Reise durch das Universum der beiden. Lange als Ostschweizer-Geheimtipp gehandelt, haben sie sich dort von Bühne zu Bühne (Gare de Lion, Grabenhalle, Albani, Orient, uvw.) gepogt und sich stabiler Live-Act entwickelt. Zwischen Moshpit, HipHop-Hände und «tanzen-wie-wenn-keiner zusieht» deckt das Trio um Epik, Takle und DJ Tr11sh ziemlich alles ab, was für einen gelungenen Abend nötig ist.</t>
  </si>
  <si>
    <t>Dub,Hip-Hop</t>
  </si>
  <si>
    <t>Mit ihren je knapp 20 Lebensjahren legen Josh Greacen und Archie Blagden bereits eine beeindruckend komplexe Mixtur aus Sounds und Storytelling an den Tag. Ein fast gespenstisches Gebräu aus Hip-Hop, Dub und urbanem Pop wabert einem auf ihrem selbstbetitelten Debutalbum entgegen. Vergleiche mit den majestätischen Gorillaz verbieten sich hier keineswegs – das könnte aus soundästhetischer Sicht auch daher rühren, dass die Songs in Damon Albarns Studio 13 aufgenommen wurden. Aktuell als Support mit Glass Animals auf Tour, im Sommer u.a. bei Melt, Best Kept Secret, Primavera oder Lowlands Festival – und eben auch mit ihrer ersten Show in der Schweiz an den Musikfestwochen. Da fühlen wir uns schon ein ganz kleines bisschen gebauchpinselt.</t>
  </si>
  <si>
    <t>Orient Funk,Jazz,Psychedelic Grooves</t>
  </si>
  <si>
    <t>Eine israelische Sängerin singt auf Farsi. Ihre Familie warnte, sie werde in einer Nische landen. «Nische klingt toll für mich», hat Liraz Charhi geantwortet. Man könnte es eine subversive Diplomatie nennen, welche die Israeli mit ihrer Musik vorantreibt: Für ihr Album «Zan» hat sie heimlich mit Musikern aus dem Iran zusammengearbeitet. Iran und Israel stehen sich seit Jahrzehnten verfeindet gegenüber. Offiziell soll es keinen Kontakt zwischen den beiden Ländern geben. Dann aber gibt es Menschen wie Liraz Charhi. Musikalisch trifft hier Orient auf Okzident. Elektronische Synthiebeats werden mit persischen Retroklängen gemixt. Dieser kulturelle Clash ist zwar im Untergrund entstanden, aber längst zu gut, zu treibend, zu gross und gehört gehört. Überall.</t>
  </si>
  <si>
    <t>Züri-Dütsch und Autotune haben sich bei Stereo Luchs als erstaunlich stimmige Einheit erwiesen, und wohl keine:r in der Schweiz hat den Dancehall so geprägt wie er. Der Zürcher, der am musikalischen Puls der Zeit moodgetränkte, messerscharfe Bilder malt, veröffentlicht Ende 2021 sein drittes Studioalbum. Prädikat: unverschämt lässiger Flow im Einklang mit cleveren Lyrics. Die Top-5-Platzierung in den Albumcharts nur mal so am Rande erwähnt. Ultrapersönlich und gespickt mit Elementen aus Trap und Cloudrap schafft es Stereo, das Melancholische und die Euphorie erstaunlich nah aneinander zu rücken. «Wänn händ mir eus alli s’letztmal gseh? Fräg mi nöd – ich weiss nume es isch vill z’lang her!»</t>
  </si>
  <si>
    <t>Klassik Nuevo</t>
  </si>
  <si>
    <t>Egal ob als Intendantin des «Klassik Nuevo»-Festivals in Winterthur oder als vielseitige Solistin im In- und Ausland: Sira Eigenmann vermag ein breites Publikum für klassische Musik zu begeistern. Ihren Stil nennt sie dann auch «Klassik Nuevo» – neu gedacht, neu arrangiert, neu entdeckt. Die Violinistin geht dabei Kooperationen mit verschiedenen Orchestern ein – u.a. Argovia Philharmonic, Musikkollegium, Zürcher Kammerorchester –, aber eben auch mit Rockbands oder der portugiesischen Fado-Sängerin Carminho. Sie bewegt sich in einer Welt zwischen klassischer Musik und World Music. Und auf ihrer Violine überzeugt sie dabei immer mit Leichtigkeit und Virtuosität. Bei uns eröffnet sie die Reihe «Musik über Mittag» und kommt dafür allein mit ihrer Violine vorbei. Ohne Schnickschnack, ohne nix.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</si>
  <si>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Rock</t>
  </si>
  <si>
    <t>Im Bewerbungsschreiben stand: «Hallo, wir sind French Fries aus Winterthur und würden gerne zeigen, wie wir die Härdöpfel frittieren.» Fanden wir lustig, Musik fanden wir super. Und den Startrampen-Auftritt letzten Sommer bei uns im Rychenbergpark auch. Weitere Ausrufezeichen haben die beiden zudem bereits im Rahmen der Demotape Clinic des m4music 2021 gesetzt, als sie in den Top 10 der besten Rocksongs landeten. Von daher war die Sachlage klar: Dieses knusprige Duo möchten wir gerne an die Winti Night auf die grosse Bühne einladen. Gesagt, getan. Frisch aus der Fritteuse zeigt das Duo, wie man ordentlich draufhaut. French Fries klingen, als ob Billy Corgan und Dave Grohl total betrunken versuchen würden, das Slipknot Album «Iowa» zu covern. Die Winterthurer sind qualitativ auf dem Level von OnThur-Bar-Pommes. Mindestens.</t>
  </si>
  <si>
    <t>Pop</t>
  </si>
  <si>
    <t>Zusammengelötete Songformen und Verschleisserscheinungen an der Batterie des aktiven Bass Pick-Ups sorgen für überdurchschnittlich laute Musik. Grooves mit Herstellungsfehlern und Synthpatches mit lockeren Steckverbindungen könnten jeglichen Übergangswiderstand im Tanzbein aufheben. Fast alle auf der Bühne sind Mate-süchtig. Einfache Hymnen zum Mitsingen (unterstützt durch Produktplatzierungen) mit Texten tiefer als eine verstopfte Kopfhörerbuchse.</t>
  </si>
  <si>
    <t>Mit seinen lakonischen Texten liefert Lele Javel auf seinem im April veröffentlichten ersten Album «Ich als Chance» den idealen Soundtrack zum Nachdenken über das Menschsein. Klingt anstrengend, ist es aber nicht. Denn musikalisch verpackt Lele Javel seine Gedanken in Watte, in augenzwinkernden Vintage-Pop zwischen driftenden Synth-Klängen und akustischen Grooves. Auf den Sounds seiner Philicorda-Orgel fliegt der Winterthurer durch die Zeiten, macht Halt in den 60er-Jahren und packt ein, was er auf seinem Trip durch die Stile findet: Autoharp, Omnicord und Blockflöte, Klänge von Tontöpfen, Kuhglocken oder Styroporklötzen. Darunter legt er gradlinige Drums, groovige Basslinien und Trompeten-Soli, eingespielt von handverlesenen Gast-Musikern wie Mattia Ferrari, Nico Feer, Ernst David Hangartner und Reto Karli. Die entstandene erfrischende Mischung legt die Basis für Lele Javels Gesang: mit grossen Themen in knappen Worten, mal ironisch, mal in Rätseln, mit Weltschmerz und Zuversicht.</t>
  </si>
  <si>
    <t>Krautpop</t>
  </si>
  <si>
    <t>Metal für alle Lebenslagen! Unkompliziert, klimaschonend, bürgernah!
MALMZEIT ist ein mutmasslich weltweit einzigartiges HEAVY ME(N)TAL DUO (D/CH), das nur sitzend, teetrinkend und gut gekleidet auftritt. Alle Songtexte handeln einzig vom grossen, im Metal bis anhin ehern vernachlässigten Thema Nummer Drei: dem Wetter. Im Jahre 2003 gründeten SUMATRA BOP (Gitarre/Beats) und EARL GREY (Kehle/Bass) den mutmasslich weltweit ersten und bis dato einzigen HEAVY ME(N)TAL LIEFERSERVICE und beliefern seitdem Geburtstagsfeiern, Begräbnisse, Schiffstaufen, Konfirmationen, Vernissagen und Richtfeste mit Mini-Metal-Konzerten on demand. Das einmalige, annähernd CO2-neutrale Angebot eignet sich für Spiessbürger, Bildungsbürger und Wutbürger gleichermassen. Als mutmasslich weltweit letzte kammermetallische LIVE-ONLY-BAND veröffentlichen MALMZEIT keinerlei Tonträger; ganz im Gegensatz zu MALMSTEIN, dem 2020 gegründeten, mutmasslich weltweit einzigartigen HEAVY META DUO (D/CH), das ausschliesslich MALMZEIT-Coverversionen spielt und ausschliesslich aus Mitgliedern von MALMZEIT besteht.
 Mit: Jochen Neuffer und Jörg Scheller alias Sumatra Bop und Earl Grey</t>
  </si>
  <si>
    <t>Kabarett, Heavy Metal</t>
  </si>
  <si>
    <t>Kalabrese gehört zu den bunteren Figuren im Zürcher Nacht- und Musikzirkus. Bereits als Kind war Sacha Winkler alias Kalabrese fasziniert von den Rhythmen der Musik. Musikalisch sozialisiert mit der elterlichen Plattensammlung, die von Miles Davis über Fela Kuti bis Frank Zappa und The Doors reichte. Mit zwölf gab es das erste Schlagzeug, Musikstunden folgten und bald darauf spielte er in diversen Bands. Swing und Funk musste man Sacha nicht erklären, er hatte ihn bereits gefunden. Die Eigenständigkeit im Sound und im Spiel des Zürchers bewirkte, dass man seine Veröffentlichungen fortan in den Plattenkoffern von Grössen wie Laurent Garnier, Solomun, Rainer Trüby und vielen anderen wiederfand. Wenn Kalabrese mit dem Rumpelorchester zusammenspannt, gilt eine Prämisse: Funktionale Perfektion ist nett, aber die wahre Schönheit liegt im Rumpeln. Wir lehnen uns mal kurz aus dem Fenster: Am Freitagabend, 12. August, könnte auf dem Kirchplatz einer der prägendsten Augenblicke der Festivalausgabe 2022 stattfinden. Fenster zu – ihr findet das MFW-Team vor der Bühne!</t>
  </si>
  <si>
    <t>Rumpeltanz</t>
  </si>
  <si>
    <t>Folk,Pop</t>
  </si>
  <si>
    <t>Ginger And The Alchemists liefern einmal grosse Emotionen frei Haus,
mehrstimmig, sanft, überwältigend. Wie ein Hauch frischer Luft setzt die ungefilterte emotionale Ehrlichkeit einen Gegensatz zu einer Welt, in der nach unerreichbarer Perfektion
gestrebt wird. Wunderschön melancholisch und offen, so wie sich der Himmel nach einem
Sturm anfühlen muss, erzählt Ginger mit ihrer zerbrechlichen und doch so kraftvollen
Stimme direkt aus ihrem Leben.
«Ginger And The Alchemists» berühren nicht nur live, wie sie es bereits auf über 100 Bühnen
bewiesen haben, sondern bestechen auch auf Studioproduktionen aus dem eigenen Lab. Mit
den ersten 2 EP’s erreichte die Band schweizweit Radio Airplays und Playlist Platzierungen.
Das Debut Album «better now» erscheint im Herbst 2022.</t>
  </si>
  <si>
    <t>Von den ersten Schritten bis zu einem sorgenfreien Leben ist es ein langer Weg. Pedro dokumentiert die Gefühle zwischen Selbstfindung und Zweifel, Schmerz und Schönheit. In seinem Conscious Rap, inhaltspolitisch und sozialkritisch motiviert, erzählt er von Themen wie Sucht, Familie, Beziehungen und Freundschaften. Manchmal direkt und unmissverständlich, manchmal versteckt hinter Strassen-Attitüde, fröhlicher Leichtigkeit oder dem schrottigen Auto eines Freundes. Die Texte sind persönlich, geschrieben in der Hoffnung, dass sich andere damit identifizieren. Denn Pedro ist kein Mann für halbe Sachen – auch live nicht: Zusammen mit dem Winterthurer Ausnahme-Hip-Hop-Live-Ensemble The Legacy untermalt und interpretiert Pedro die letzten zehn Jahre seines Musikschaffens an der Winti Night neu. Das Konzert wird live aufgenommen und auf Vinyl gepresst. «Beleza», wie die Platte heissen wird, erscheint dann im Herbst. Wie gesagt: Pedro macht keine halben Sachen.</t>
  </si>
  <si>
    <t>Diverse Stile</t>
  </si>
  <si>
    <t>Das Festival für junge Musikerinnen und Musiker
Get on stage! Zahlreiche junge Acts aus dem Kanton Zürich haben um die acht begehrten Band-it-Finalplätze gespielt, gerappt und gesungen. Folgende Bands haben es ins Finale geschafft:
    Tomssonic 14:00
    Qeller 14:35
    Mace Dispute 15:10
    Akindo 15:45
    Two and a Half Twins 16:20
    Lou Kaena &amp; Said 16:55
    Follia 17:30
    The Black Edition 18:15
Moderiert wird das Finale von jungen Talenten, die die Bands bereits durch die Qualifikationen begleitet haben</t>
  </si>
  <si>
    <t>60er,Psyche Rock</t>
  </si>
  <si>
    <t>Der Züritipp meint: «Eine Genfer Band startet durch – mit einer Mischung aus Electronica, Psychedelic und 60s-Pop. Und sie verehren das Variété. Unsere Empfehlung: ‹Écoutez!›» Da schliessen wir uns doch einfach mal an. Vor vier Jahren als Soloprojekt gestartet und inzwischen zu einem feinfühligen, dreiköpfigen Wesen angewachsen. Noémie Griess, Anissa Cadelli und Nicolas Scolari haben viel Zeit mit dem Ertüfteln und Perfektionieren ihres Sounds verbracht. Und das klingt so: französischer Underground-Pop, der sich zur Inspiration nicht scheut, das Beste aus den Welten von Mariah Carey bis zu Francoise Hardy anzuzapfen. Aus Genf, der Stadt der Escorts und Hunde-Punk-Squats, schleppen Barrio Colette ihre grossen Herzen, ihre traurigen Augen und die Stimme des alten Frankreichs nach Winti.</t>
  </si>
  <si>
    <t>Indie Rock, Alternative Pop</t>
  </si>
  <si>
    <t>Da will sich jemand nicht verbiegen lassen. Das Major Label wollte aus Connie Constance eine möglichst kantenlose, schön produzierte und nett daherkommende Künstlerin formen. So weit so Musikbusiness-Alltag, aber halt auch schrecklich langweilig, diese Kopien von oft gehörten und umso öfter vergessenen Stimmen, die im Radio tagtäglich daherdudeln. Zum Glück hat die Engländerin gewehrt. Von dieser Erfahrung emanzipiert und künstlerisch gestärkt, begeistert sie nun umso mehr – mit einer neu gewonnenen Bedroom-Indiepop-Attitüde à la Nilüfer Yanya. Ihre aktuelle EP «Prim &amp; Propa» strotzt vor Lust: Lust auf grosse Songs, ohne dabei nett sein zu müssen. Musik mit richtig Wucht und Drive, gerne auch mal schroff phrasiert wie bei Electric Girl. Diesen Sommer teilt sich Connie Constance u.a. mit Patti Smith und den Chemical Brothers die Festivalbühnen. Kontrast der passt</t>
  </si>
  <si>
    <t>Fräulein Luise haben im Sommer 2021 im Büelpark unser Publikum und die Jury des Band-It-Finales für sich gewonnen. Das wird mit einem Slot auf der Kirchplatzbühne belohnt! Die vierköpfige Zürcher Band macht deutschen, schweizerdeutschen und französischen Indie Pop und glänzt dabei mit hervorragenden Liedtexten.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</si>
</sst>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8">
    <xf numFmtId="0" fontId="0" fillId="0" borderId="0" xfId="0"/>
    <xf numFmtId="1" fontId="0" fillId="0" borderId="0" xfId="0" applyNumberFormat="1"/>
    <xf numFmtId="1" fontId="0" fillId="0" borderId="0" xfId="0" applyNumberFormat="1" applyAlignment="1">
      <alignment horizontal="left"/>
    </xf>
    <xf numFmtId="0" fontId="1" fillId="0" borderId="0" xfId="1"/>
    <xf numFmtId="49" fontId="0" fillId="0" borderId="0" xfId="0" applyNumberFormat="1"/>
    <xf numFmtId="14" fontId="0" fillId="0" borderId="0" xfId="0" applyNumberFormat="1"/>
    <xf numFmtId="22" fontId="0" fillId="0" borderId="0" xfId="0" applyNumberFormat="1"/>
    <xf numFmtId="49" fontId="1" fillId="0" borderId="0" xfId="1" applyNumberFormat="1"/>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CBA25A0-37C6-473A-A29E-4DFA79348046}">
  <we:reference id="wa104380263" version="1.1.3.0" store="en-US" storeType="OMEX"/>
  <we:alternateReferences>
    <we:reference id="wa104380263" version="1.1.3.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musikfestwochen.ch/acts/les-trois-suisses-ch/" TargetMode="External"/><Relationship Id="rId2" Type="http://schemas.openxmlformats.org/officeDocument/2006/relationships/hyperlink" Target="https://musikfestwochen.ch/acts/king-kora-ch/" TargetMode="External"/><Relationship Id="rId1" Type="http://schemas.openxmlformats.org/officeDocument/2006/relationships/hyperlink" Target="https://musikfestwochen.ch/acts/andrina-bollinger-ch/" TargetMode="External"/><Relationship Id="rId5" Type="http://schemas.openxmlformats.org/officeDocument/2006/relationships/printerSettings" Target="../printerSettings/printerSettings1.bin"/><Relationship Id="rId4" Type="http://schemas.openxmlformats.org/officeDocument/2006/relationships/hyperlink" Target="https://musikfestwochen.ch/acts/agent-flipper-ch/"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musikfestwochen.ch/acts/liraz-isr/" TargetMode="External"/><Relationship Id="rId13" Type="http://schemas.openxmlformats.org/officeDocument/2006/relationships/hyperlink" Target="https://musikfestwochen.ch/acts/lele-javel-ch/" TargetMode="External"/><Relationship Id="rId18" Type="http://schemas.openxmlformats.org/officeDocument/2006/relationships/hyperlink" Target="https://musikfestwochen.ch/acts/band-it-finale/" TargetMode="External"/><Relationship Id="rId3" Type="http://schemas.openxmlformats.org/officeDocument/2006/relationships/hyperlink" Target="https://musikfestwochen.ch/acts/jeremias-d/" TargetMode="External"/><Relationship Id="rId21" Type="http://schemas.openxmlformats.org/officeDocument/2006/relationships/hyperlink" Target="https://musikfestwochen.ch/acts/fraeulein-luise-ch/" TargetMode="External"/><Relationship Id="rId7" Type="http://schemas.openxmlformats.org/officeDocument/2006/relationships/hyperlink" Target="https://musikfestwochen.ch/acts/sad-night-dynamite-uk/" TargetMode="External"/><Relationship Id="rId12" Type="http://schemas.openxmlformats.org/officeDocument/2006/relationships/hyperlink" Target="https://musikfestwochen.ch/acts/wackelkontakt-ch/" TargetMode="External"/><Relationship Id="rId17" Type="http://schemas.openxmlformats.org/officeDocument/2006/relationships/hyperlink" Target="https://musikfestwochen.ch/acts/pedro-feat-the-legacy-ch/" TargetMode="External"/><Relationship Id="rId2" Type="http://schemas.openxmlformats.org/officeDocument/2006/relationships/hyperlink" Target="https://musikfestwochen.ch/acts/bona-rhodes-ch/" TargetMode="External"/><Relationship Id="rId16" Type="http://schemas.openxmlformats.org/officeDocument/2006/relationships/hyperlink" Target="https://musikfestwochen.ch/acts/ginger-and-the-alchemists-ch/" TargetMode="External"/><Relationship Id="rId20" Type="http://schemas.openxmlformats.org/officeDocument/2006/relationships/hyperlink" Target="https://musikfestwochen.ch/acts/connie-constance-uk/" TargetMode="External"/><Relationship Id="rId1" Type="http://schemas.openxmlformats.org/officeDocument/2006/relationships/hyperlink" Target="https://musikfestwochen.ch/acts/katy-j-pearson-uk/" TargetMode="External"/><Relationship Id="rId6" Type="http://schemas.openxmlformats.org/officeDocument/2006/relationships/hyperlink" Target="https://musikfestwochen.ch/acts/projekt-et-ch/" TargetMode="External"/><Relationship Id="rId11" Type="http://schemas.openxmlformats.org/officeDocument/2006/relationships/hyperlink" Target="https://musikfestwochen.ch/acts/french-fries-ch/" TargetMode="External"/><Relationship Id="rId5" Type="http://schemas.openxmlformats.org/officeDocument/2006/relationships/hyperlink" Target="https://musikfestwochen.ch/acts/hatepop-ch/" TargetMode="External"/><Relationship Id="rId15" Type="http://schemas.openxmlformats.org/officeDocument/2006/relationships/hyperlink" Target="https://musikfestwochen.ch/acts/kalabrese-rumpelorchester-ch/" TargetMode="External"/><Relationship Id="rId10" Type="http://schemas.openxmlformats.org/officeDocument/2006/relationships/hyperlink" Target="https://musikfestwochen.ch/acts/sira-eigenmann-ch/" TargetMode="External"/><Relationship Id="rId19" Type="http://schemas.openxmlformats.org/officeDocument/2006/relationships/hyperlink" Target="https://musikfestwochen.ch/acts/barrio-colette-ch/" TargetMode="External"/><Relationship Id="rId4" Type="http://schemas.openxmlformats.org/officeDocument/2006/relationships/hyperlink" Target="https://musikfestwochen.ch/acts/teketeke-can/" TargetMode="External"/><Relationship Id="rId9" Type="http://schemas.openxmlformats.org/officeDocument/2006/relationships/hyperlink" Target="https://musikfestwochen.ch/acts/stereo-luchs-ch/" TargetMode="External"/><Relationship Id="rId14" Type="http://schemas.openxmlformats.org/officeDocument/2006/relationships/hyperlink" Target="https://musikfestwochen.ch/acts/malmzeit-ch/" TargetMode="External"/><Relationship Id="rId22" Type="http://schemas.openxmlformats.org/officeDocument/2006/relationships/hyperlink" Target="https://musikfestwochen.ch/acts/asendorf-ch/"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musikfestwochen.ch/acts/grace-cummings-aus/" TargetMode="External"/><Relationship Id="rId1" Type="http://schemas.openxmlformats.org/officeDocument/2006/relationships/hyperlink" Target="https://musikfestwochen.ch/acts/matinee-der-musikschul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3BB2-A027-4CEC-9667-1F2293FB6E87}">
  <sheetPr codeName="Tabelle1"/>
  <dimension ref="A1:I17"/>
  <sheetViews>
    <sheetView workbookViewId="0">
      <selection activeCell="E11" sqref="E11"/>
    </sheetView>
  </sheetViews>
  <sheetFormatPr baseColWidth="10" defaultRowHeight="15" x14ac:dyDescent="0.25"/>
  <cols>
    <col min="2" max="2" width="22.85546875" customWidth="1"/>
    <col min="4" max="4" width="18.7109375" bestFit="1" customWidth="1"/>
    <col min="5" max="5" width="14.140625" bestFit="1" customWidth="1"/>
  </cols>
  <sheetData>
    <row r="1" spans="1:9" x14ac:dyDescent="0.25">
      <c r="A1" t="s">
        <v>0</v>
      </c>
      <c r="B1" t="s">
        <v>1</v>
      </c>
      <c r="C1" t="s">
        <v>2</v>
      </c>
      <c r="D1" t="s">
        <v>3</v>
      </c>
      <c r="E1" t="s">
        <v>4</v>
      </c>
      <c r="F1" t="s">
        <v>5</v>
      </c>
      <c r="G1" t="s">
        <v>10</v>
      </c>
      <c r="H1" t="s">
        <v>6</v>
      </c>
      <c r="I1" t="s">
        <v>7</v>
      </c>
    </row>
    <row r="2" spans="1:9" x14ac:dyDescent="0.25">
      <c r="A2">
        <v>1</v>
      </c>
      <c r="B2" t="s">
        <v>16</v>
      </c>
      <c r="C2" s="1">
        <v>1</v>
      </c>
      <c r="D2" s="2">
        <v>1660149000</v>
      </c>
      <c r="E2" s="2">
        <v>1660152600</v>
      </c>
      <c r="F2" s="1">
        <v>1</v>
      </c>
      <c r="G2" t="s">
        <v>11</v>
      </c>
      <c r="H2" t="s">
        <v>8</v>
      </c>
      <c r="I2" t="s">
        <v>9</v>
      </c>
    </row>
    <row r="3" spans="1:9" x14ac:dyDescent="0.25">
      <c r="A3">
        <v>2</v>
      </c>
      <c r="B3" t="s">
        <v>12</v>
      </c>
      <c r="C3" s="1">
        <v>1</v>
      </c>
      <c r="D3" s="2">
        <v>1660501800</v>
      </c>
      <c r="E3" s="2">
        <v>1660506300</v>
      </c>
      <c r="F3" s="1">
        <v>1</v>
      </c>
      <c r="G3" t="s">
        <v>14</v>
      </c>
      <c r="H3" t="s">
        <v>13</v>
      </c>
      <c r="I3" t="s">
        <v>15</v>
      </c>
    </row>
    <row r="4" spans="1:9" x14ac:dyDescent="0.25">
      <c r="A4">
        <v>3</v>
      </c>
      <c r="B4" t="s">
        <v>17</v>
      </c>
      <c r="C4" s="1">
        <v>1</v>
      </c>
      <c r="D4" s="2">
        <v>1660754700</v>
      </c>
      <c r="E4" s="2">
        <v>1660757400</v>
      </c>
      <c r="F4" s="1">
        <v>1</v>
      </c>
      <c r="G4" t="s">
        <v>18</v>
      </c>
      <c r="H4" t="s">
        <v>20</v>
      </c>
      <c r="I4" t="s">
        <v>19</v>
      </c>
    </row>
    <row r="5" spans="1:9" x14ac:dyDescent="0.25">
      <c r="A5">
        <v>4</v>
      </c>
      <c r="B5" t="s">
        <v>21</v>
      </c>
      <c r="C5" s="1">
        <v>2</v>
      </c>
      <c r="D5" s="2">
        <v>1660588200</v>
      </c>
      <c r="E5" s="2">
        <v>1660592700</v>
      </c>
      <c r="F5" s="1">
        <v>1</v>
      </c>
      <c r="G5" t="s">
        <v>23</v>
      </c>
      <c r="H5" t="s">
        <v>22</v>
      </c>
      <c r="I5" t="s">
        <v>24</v>
      </c>
    </row>
    <row r="6" spans="1:9" x14ac:dyDescent="0.25">
      <c r="A6">
        <v>5</v>
      </c>
      <c r="B6" t="s">
        <v>25</v>
      </c>
      <c r="C6" s="1">
        <v>2</v>
      </c>
      <c r="D6" s="2">
        <v>1660416300</v>
      </c>
      <c r="E6" s="2">
        <v>1660419900</v>
      </c>
      <c r="F6" s="1">
        <v>1</v>
      </c>
      <c r="G6" t="s">
        <v>26</v>
      </c>
      <c r="H6" t="s">
        <v>27</v>
      </c>
      <c r="I6" t="s">
        <v>28</v>
      </c>
    </row>
    <row r="7" spans="1:9" x14ac:dyDescent="0.25">
      <c r="A7">
        <v>6</v>
      </c>
      <c r="B7" t="s">
        <v>29</v>
      </c>
      <c r="C7" s="1">
        <v>3</v>
      </c>
      <c r="D7" s="2">
        <v>1660587300</v>
      </c>
      <c r="E7" s="2">
        <v>1660592700</v>
      </c>
      <c r="F7" s="1">
        <v>1</v>
      </c>
      <c r="G7" t="s">
        <v>32</v>
      </c>
      <c r="H7" t="s">
        <v>31</v>
      </c>
      <c r="I7" s="3" t="s">
        <v>30</v>
      </c>
    </row>
    <row r="8" spans="1:9" x14ac:dyDescent="0.25">
      <c r="A8">
        <v>7</v>
      </c>
      <c r="B8" t="s">
        <v>33</v>
      </c>
      <c r="C8" s="1">
        <v>3</v>
      </c>
      <c r="D8" s="2" t="s">
        <v>37</v>
      </c>
      <c r="E8" s="2">
        <v>1661110200</v>
      </c>
      <c r="F8" s="1">
        <v>1</v>
      </c>
      <c r="G8" t="s">
        <v>36</v>
      </c>
      <c r="H8" t="s">
        <v>35</v>
      </c>
      <c r="I8" s="3" t="s">
        <v>34</v>
      </c>
    </row>
    <row r="9" spans="1:9" x14ac:dyDescent="0.25">
      <c r="A9">
        <v>8</v>
      </c>
      <c r="B9" t="s">
        <v>38</v>
      </c>
      <c r="C9" s="1">
        <v>4</v>
      </c>
      <c r="D9" s="2">
        <v>1660757400</v>
      </c>
      <c r="E9" s="2">
        <v>1660758300</v>
      </c>
      <c r="F9" s="1">
        <v>1</v>
      </c>
      <c r="H9" t="s">
        <v>40</v>
      </c>
      <c r="I9" s="3" t="s">
        <v>39</v>
      </c>
    </row>
    <row r="10" spans="1:9" x14ac:dyDescent="0.25">
      <c r="A10">
        <v>9</v>
      </c>
      <c r="B10" t="s">
        <v>41</v>
      </c>
      <c r="C10" s="1">
        <v>4</v>
      </c>
      <c r="D10" s="2">
        <v>1660412700</v>
      </c>
      <c r="E10" s="2">
        <v>1660413900</v>
      </c>
      <c r="F10" s="1">
        <v>1</v>
      </c>
      <c r="G10" t="s">
        <v>44</v>
      </c>
      <c r="H10" t="s">
        <v>43</v>
      </c>
      <c r="I10" t="s">
        <v>42</v>
      </c>
    </row>
    <row r="11" spans="1:9" x14ac:dyDescent="0.25">
      <c r="A11">
        <v>10</v>
      </c>
      <c r="C11" s="1"/>
      <c r="D11" s="2"/>
      <c r="E11" s="2"/>
      <c r="F11" s="1"/>
    </row>
    <row r="12" spans="1:9" x14ac:dyDescent="0.25">
      <c r="A12">
        <v>11</v>
      </c>
      <c r="C12" s="1"/>
      <c r="D12" s="2"/>
      <c r="E12" s="2"/>
      <c r="F12" s="1"/>
    </row>
    <row r="13" spans="1:9" x14ac:dyDescent="0.25">
      <c r="A13">
        <v>12</v>
      </c>
      <c r="C13" s="1"/>
      <c r="D13" s="2"/>
      <c r="E13" s="2"/>
      <c r="F13" s="1"/>
    </row>
    <row r="14" spans="1:9" x14ac:dyDescent="0.25">
      <c r="A14">
        <v>13</v>
      </c>
      <c r="C14" s="1"/>
      <c r="D14" s="2"/>
      <c r="E14" s="2"/>
      <c r="F14" s="1"/>
    </row>
    <row r="15" spans="1:9" x14ac:dyDescent="0.25">
      <c r="A15">
        <v>14</v>
      </c>
      <c r="C15" s="1"/>
      <c r="D15" s="2"/>
      <c r="E15" s="2"/>
      <c r="F15" s="1"/>
    </row>
    <row r="16" spans="1:9" x14ac:dyDescent="0.25">
      <c r="A16">
        <v>15</v>
      </c>
      <c r="C16" s="1"/>
      <c r="D16" s="2"/>
      <c r="E16" s="2"/>
      <c r="F16" s="1"/>
    </row>
    <row r="17" spans="1:6" x14ac:dyDescent="0.25">
      <c r="A17">
        <v>16</v>
      </c>
      <c r="C17" s="1"/>
      <c r="D17" s="2"/>
      <c r="E17" s="2"/>
      <c r="F17" s="1"/>
    </row>
  </sheetData>
  <hyperlinks>
    <hyperlink ref="I6" r:id="rId1" xr:uid="{7EC279BF-BE8C-40A3-AD2A-9056C6FA49E5}"/>
    <hyperlink ref="I7" r:id="rId2" xr:uid="{4330491C-981B-480A-BEE8-0DBAFF038A25}"/>
    <hyperlink ref="I8" r:id="rId3" xr:uid="{C1588207-9C9E-4E1A-8FBF-93AC552803A6}"/>
    <hyperlink ref="I9" r:id="rId4" xr:uid="{592A3590-6D91-45E0-8D6A-A43732D06EB8}"/>
  </hyperlinks>
  <pageMargins left="0.7" right="0.7" top="0.78740157499999996" bottom="0.78740157499999996" header="0.3" footer="0.3"/>
  <pageSetup paperSize="9"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7BA5-504C-4BF1-B67B-5F69FF09DAD0}">
  <sheetPr codeName="transformOutput"/>
  <dimension ref="A1:L84"/>
  <sheetViews>
    <sheetView tabSelected="1" topLeftCell="C13" workbookViewId="0">
      <selection activeCell="G24" sqref="G24"/>
    </sheetView>
  </sheetViews>
  <sheetFormatPr baseColWidth="10"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4" t="s">
        <v>1</v>
      </c>
      <c r="B1" s="4" t="s">
        <v>277</v>
      </c>
      <c r="C1" s="4" t="s">
        <v>278</v>
      </c>
      <c r="D1" s="4" t="s">
        <v>279</v>
      </c>
      <c r="E1" s="4" t="s">
        <v>5</v>
      </c>
      <c r="F1" s="4" t="s">
        <v>280</v>
      </c>
      <c r="G1" s="4" t="s">
        <v>6</v>
      </c>
      <c r="H1" s="4" t="s">
        <v>47</v>
      </c>
      <c r="I1" s="4"/>
      <c r="J1" s="4"/>
      <c r="K1" s="4"/>
      <c r="L1" s="4"/>
    </row>
    <row r="2" spans="1:12" x14ac:dyDescent="0.25">
      <c r="A2" s="4" t="s">
        <v>310</v>
      </c>
      <c r="B2" s="4">
        <v>1</v>
      </c>
      <c r="C2" s="4">
        <v>1660156200</v>
      </c>
      <c r="D2" s="4">
        <v>1660159800</v>
      </c>
      <c r="E2" s="4"/>
      <c r="F2" s="4" t="s">
        <v>435</v>
      </c>
      <c r="G2" s="4" t="s">
        <v>8</v>
      </c>
      <c r="H2" s="7" t="s">
        <v>9</v>
      </c>
      <c r="I2" s="4"/>
      <c r="J2" s="4"/>
      <c r="K2" s="4"/>
    </row>
    <row r="3" spans="1:12" x14ac:dyDescent="0.25">
      <c r="A3" s="4" t="s">
        <v>306</v>
      </c>
      <c r="B3" s="4">
        <v>4</v>
      </c>
      <c r="C3" s="4">
        <v>1660159800</v>
      </c>
      <c r="D3" s="4">
        <v>1660160700</v>
      </c>
      <c r="E3" s="4"/>
      <c r="F3" s="4" t="s">
        <v>435</v>
      </c>
      <c r="G3" s="4" t="s">
        <v>436</v>
      </c>
      <c r="H3" s="7" t="s">
        <v>162</v>
      </c>
      <c r="I3" s="4"/>
      <c r="J3" s="4"/>
      <c r="K3" s="4"/>
    </row>
    <row r="4" spans="1:12" x14ac:dyDescent="0.25">
      <c r="A4" s="4" t="s">
        <v>343</v>
      </c>
      <c r="B4" s="4">
        <v>5</v>
      </c>
      <c r="C4" s="4">
        <v>1660162500</v>
      </c>
      <c r="D4" s="4">
        <v>1660167900</v>
      </c>
      <c r="E4" s="4"/>
      <c r="F4" s="4" t="s">
        <v>437</v>
      </c>
      <c r="G4" s="4" t="s">
        <v>438</v>
      </c>
      <c r="H4" s="7" t="s">
        <v>192</v>
      </c>
      <c r="I4" s="4"/>
      <c r="J4" s="4"/>
      <c r="K4" s="4"/>
    </row>
    <row r="5" spans="1:12" x14ac:dyDescent="0.25">
      <c r="A5" s="4" t="s">
        <v>337</v>
      </c>
      <c r="B5" s="4">
        <v>1</v>
      </c>
      <c r="C5" s="4">
        <v>1660163400</v>
      </c>
      <c r="D5" s="4">
        <v>1660167900</v>
      </c>
      <c r="E5" s="4"/>
      <c r="F5" s="4" t="s">
        <v>439</v>
      </c>
      <c r="G5" s="4" t="s">
        <v>440</v>
      </c>
      <c r="H5" s="7" t="s">
        <v>91</v>
      </c>
      <c r="I5" s="4"/>
      <c r="J5" s="4"/>
      <c r="K5" s="4"/>
    </row>
    <row r="6" spans="1:12" x14ac:dyDescent="0.25">
      <c r="A6" s="4" t="s">
        <v>288</v>
      </c>
      <c r="B6" s="4">
        <v>2</v>
      </c>
      <c r="C6" s="4">
        <v>1660242600</v>
      </c>
      <c r="D6" s="4">
        <v>1660245300</v>
      </c>
      <c r="E6" s="4"/>
      <c r="F6" s="4" t="s">
        <v>441</v>
      </c>
      <c r="G6" s="4" t="s">
        <v>442</v>
      </c>
      <c r="H6" s="7" t="s">
        <v>76</v>
      </c>
      <c r="I6" s="4"/>
      <c r="J6" s="4"/>
      <c r="K6" s="4"/>
    </row>
    <row r="7" spans="1:12" x14ac:dyDescent="0.25">
      <c r="A7" s="4" t="s">
        <v>293</v>
      </c>
      <c r="B7" s="4">
        <v>2</v>
      </c>
      <c r="C7" s="4">
        <v>1660245300</v>
      </c>
      <c r="D7" s="4">
        <v>1660246200</v>
      </c>
      <c r="E7" s="4"/>
      <c r="F7" s="4" t="s">
        <v>441</v>
      </c>
      <c r="G7" s="4" t="s">
        <v>443</v>
      </c>
      <c r="H7" s="7" t="s">
        <v>111</v>
      </c>
      <c r="I7" s="4"/>
      <c r="J7" s="4"/>
      <c r="K7" s="4"/>
    </row>
    <row r="8" spans="1:12" x14ac:dyDescent="0.25">
      <c r="A8" s="4" t="s">
        <v>323</v>
      </c>
      <c r="B8" s="4">
        <v>2</v>
      </c>
      <c r="C8" s="4">
        <v>1660248000</v>
      </c>
      <c r="D8" s="4">
        <v>1660250700</v>
      </c>
      <c r="E8" s="4"/>
      <c r="F8" s="4" t="s">
        <v>444</v>
      </c>
      <c r="G8" s="4" t="s">
        <v>445</v>
      </c>
      <c r="H8" s="7" t="s">
        <v>233</v>
      </c>
      <c r="I8" s="4"/>
      <c r="J8" s="4"/>
      <c r="K8" s="4"/>
    </row>
    <row r="9" spans="1:12" x14ac:dyDescent="0.25">
      <c r="A9" s="4" t="s">
        <v>341</v>
      </c>
      <c r="B9" s="4">
        <v>1</v>
      </c>
      <c r="C9" s="4">
        <v>1660249800</v>
      </c>
      <c r="D9" s="4">
        <v>1660254300</v>
      </c>
      <c r="E9" s="4"/>
      <c r="F9" s="4" t="s">
        <v>446</v>
      </c>
      <c r="G9" s="4" t="s">
        <v>447</v>
      </c>
      <c r="H9" s="7" t="s">
        <v>157</v>
      </c>
      <c r="I9" s="4"/>
      <c r="J9" s="4"/>
      <c r="K9" s="4"/>
    </row>
    <row r="10" spans="1:12" x14ac:dyDescent="0.25">
      <c r="A10" s="4" t="s">
        <v>312</v>
      </c>
      <c r="B10" s="4">
        <v>1</v>
      </c>
      <c r="C10" s="4">
        <v>1660253400</v>
      </c>
      <c r="D10" s="4">
        <v>1660257900</v>
      </c>
      <c r="E10" s="4"/>
      <c r="F10" s="4" t="s">
        <v>441</v>
      </c>
      <c r="G10" s="4" t="s">
        <v>448</v>
      </c>
      <c r="H10" s="7" t="s">
        <v>186</v>
      </c>
      <c r="I10" s="4"/>
      <c r="J10" s="4"/>
      <c r="K10" s="4"/>
    </row>
    <row r="11" spans="1:12" x14ac:dyDescent="0.25">
      <c r="A11" s="4" t="s">
        <v>298</v>
      </c>
      <c r="B11" s="4">
        <v>1</v>
      </c>
      <c r="C11" s="4">
        <v>1660304700</v>
      </c>
      <c r="D11" s="4">
        <v>1660308300</v>
      </c>
      <c r="E11" s="4"/>
      <c r="F11" s="4" t="s">
        <v>449</v>
      </c>
      <c r="G11" s="4" t="s">
        <v>450</v>
      </c>
      <c r="H11" s="7" t="s">
        <v>125</v>
      </c>
      <c r="I11" s="4"/>
      <c r="J11" s="4"/>
      <c r="K11" s="4"/>
    </row>
    <row r="12" spans="1:12" x14ac:dyDescent="0.25">
      <c r="A12" s="4" t="s">
        <v>303</v>
      </c>
      <c r="B12" s="4">
        <v>1</v>
      </c>
      <c r="C12" s="4">
        <v>1660329000</v>
      </c>
      <c r="D12" s="4">
        <v>1660331700</v>
      </c>
      <c r="E12" s="4"/>
      <c r="F12" s="4" t="s">
        <v>451</v>
      </c>
      <c r="G12" t="s">
        <v>452</v>
      </c>
      <c r="H12" s="7" t="s">
        <v>148</v>
      </c>
      <c r="I12" s="4"/>
      <c r="J12" s="4"/>
      <c r="K12" s="4"/>
    </row>
    <row r="13" spans="1:12" x14ac:dyDescent="0.25">
      <c r="A13" s="4" t="s">
        <v>319</v>
      </c>
      <c r="B13" s="4">
        <v>1</v>
      </c>
      <c r="C13" s="4">
        <v>1660331700</v>
      </c>
      <c r="D13" s="4">
        <v>1660332600</v>
      </c>
      <c r="E13" s="4"/>
      <c r="F13" s="4" t="s">
        <v>453</v>
      </c>
      <c r="G13" s="4" t="s">
        <v>454</v>
      </c>
      <c r="H13" s="7" t="s">
        <v>218</v>
      </c>
      <c r="I13" s="4"/>
      <c r="J13" s="4"/>
      <c r="K13" s="4"/>
    </row>
    <row r="14" spans="1:12" x14ac:dyDescent="0.25">
      <c r="A14" s="4" t="s">
        <v>309</v>
      </c>
      <c r="B14" s="4">
        <v>2</v>
      </c>
      <c r="C14" s="4">
        <v>1660334400</v>
      </c>
      <c r="D14" s="4">
        <v>1660337100</v>
      </c>
      <c r="E14" s="4"/>
      <c r="F14" s="4" t="s">
        <v>456</v>
      </c>
      <c r="G14" s="4" t="s">
        <v>455</v>
      </c>
      <c r="H14" s="7" t="s">
        <v>176</v>
      </c>
      <c r="I14" s="4"/>
      <c r="J14" s="4"/>
      <c r="K14" s="4"/>
    </row>
    <row r="15" spans="1:12" x14ac:dyDescent="0.25">
      <c r="A15" s="4" t="s">
        <v>322</v>
      </c>
      <c r="B15" s="4">
        <v>1</v>
      </c>
      <c r="C15" s="4">
        <v>1660335300</v>
      </c>
      <c r="D15" s="4">
        <v>1660339800</v>
      </c>
      <c r="E15" s="4"/>
      <c r="F15" s="4" t="s">
        <v>458</v>
      </c>
      <c r="G15" s="4" t="s">
        <v>457</v>
      </c>
      <c r="H15" s="7" t="s">
        <v>230</v>
      </c>
      <c r="I15" s="4"/>
      <c r="J15" s="4"/>
      <c r="K15" s="4"/>
    </row>
    <row r="16" spans="1:12" x14ac:dyDescent="0.25">
      <c r="A16" s="4" t="s">
        <v>285</v>
      </c>
      <c r="B16" s="4">
        <v>6</v>
      </c>
      <c r="C16" s="4">
        <v>1660336200</v>
      </c>
      <c r="D16" s="4">
        <v>1660340700</v>
      </c>
      <c r="E16" s="4"/>
      <c r="F16" s="4" t="s">
        <v>460</v>
      </c>
      <c r="G16" s="4" t="s">
        <v>459</v>
      </c>
      <c r="H16" s="7" t="s">
        <v>67</v>
      </c>
      <c r="I16" s="4"/>
      <c r="J16" s="4"/>
      <c r="K16" s="4"/>
    </row>
    <row r="17" spans="1:11" x14ac:dyDescent="0.25">
      <c r="A17" s="4" t="s">
        <v>290</v>
      </c>
      <c r="B17" s="4">
        <v>3</v>
      </c>
      <c r="C17" s="4">
        <v>1660338900</v>
      </c>
      <c r="D17" s="4">
        <v>1660342500</v>
      </c>
      <c r="E17" s="4"/>
      <c r="F17" s="4" t="s">
        <v>461</v>
      </c>
      <c r="G17" s="4" t="s">
        <v>462</v>
      </c>
      <c r="H17" s="7" t="s">
        <v>94</v>
      </c>
      <c r="I17" s="4"/>
      <c r="J17" s="4"/>
      <c r="K17" s="4"/>
    </row>
    <row r="18" spans="1:11" x14ac:dyDescent="0.25">
      <c r="A18" s="4" t="s">
        <v>289</v>
      </c>
      <c r="B18" s="4">
        <v>3</v>
      </c>
      <c r="C18" s="4">
        <v>1660345200</v>
      </c>
      <c r="D18" s="4">
        <v>1660348200</v>
      </c>
      <c r="E18" s="4"/>
      <c r="F18" s="4" t="s">
        <v>441</v>
      </c>
      <c r="G18" s="4" t="s">
        <v>463</v>
      </c>
      <c r="H18" s="7" t="s">
        <v>88</v>
      </c>
      <c r="I18" s="4"/>
      <c r="J18" s="4"/>
      <c r="K18" s="4"/>
    </row>
    <row r="19" spans="1:11" x14ac:dyDescent="0.25">
      <c r="A19" s="4" t="s">
        <v>144</v>
      </c>
      <c r="B19" s="4">
        <v>1</v>
      </c>
      <c r="C19" s="4">
        <v>1660399200</v>
      </c>
      <c r="D19" s="4">
        <v>1660416300</v>
      </c>
      <c r="E19" s="4"/>
      <c r="F19" s="4" t="s">
        <v>464</v>
      </c>
      <c r="G19" s="4" t="s">
        <v>465</v>
      </c>
      <c r="H19" s="7" t="s">
        <v>145</v>
      </c>
      <c r="I19" s="4"/>
      <c r="J19" s="4"/>
      <c r="K19" s="4"/>
    </row>
    <row r="20" spans="1:11" x14ac:dyDescent="0.25">
      <c r="A20" s="4" t="s">
        <v>284</v>
      </c>
      <c r="B20" s="4">
        <v>4</v>
      </c>
      <c r="C20" s="4">
        <v>1660413600</v>
      </c>
      <c r="D20" s="4">
        <v>1660416000</v>
      </c>
      <c r="E20" s="4"/>
      <c r="F20" s="4" t="s">
        <v>466</v>
      </c>
      <c r="G20" s="4" t="s">
        <v>467</v>
      </c>
      <c r="H20" s="7" t="s">
        <v>63</v>
      </c>
      <c r="I20" s="4"/>
      <c r="J20" s="4"/>
      <c r="K20" s="4"/>
    </row>
    <row r="21" spans="1:11" x14ac:dyDescent="0.25">
      <c r="A21" s="4" t="s">
        <v>304</v>
      </c>
      <c r="B21" s="4">
        <v>1</v>
      </c>
      <c r="C21" s="4">
        <v>1660417800</v>
      </c>
      <c r="D21" s="4">
        <v>1660420200</v>
      </c>
      <c r="E21" s="4"/>
      <c r="F21" s="4" t="s">
        <v>468</v>
      </c>
      <c r="G21" s="4" t="s">
        <v>469</v>
      </c>
      <c r="H21" s="7" t="s">
        <v>154</v>
      </c>
      <c r="I21" s="4"/>
      <c r="J21" s="4"/>
      <c r="K21" s="4"/>
    </row>
    <row r="22" spans="1:11" x14ac:dyDescent="0.25">
      <c r="A22" s="4" t="s">
        <v>269</v>
      </c>
      <c r="B22" s="4">
        <v>1</v>
      </c>
      <c r="C22" s="4">
        <v>1660419000</v>
      </c>
      <c r="D22" s="4">
        <v>1660421400</v>
      </c>
      <c r="E22" s="4"/>
      <c r="F22" s="4" t="s">
        <v>44</v>
      </c>
      <c r="G22" s="4" t="s">
        <v>470</v>
      </c>
      <c r="H22" s="7" t="s">
        <v>270</v>
      </c>
      <c r="I22" s="4"/>
      <c r="J22" s="4"/>
      <c r="K22" s="4"/>
    </row>
    <row r="23" spans="1:11" x14ac:dyDescent="0.25">
      <c r="A23" s="4" t="s">
        <v>311</v>
      </c>
      <c r="B23" s="4">
        <v>4</v>
      </c>
      <c r="C23" s="4">
        <v>1660420200</v>
      </c>
      <c r="D23" s="4">
        <v>1660421100</v>
      </c>
      <c r="E23" s="4"/>
      <c r="F23" s="4" t="s">
        <v>44</v>
      </c>
      <c r="G23" s="4" t="s">
        <v>43</v>
      </c>
      <c r="H23" s="7" t="s">
        <v>42</v>
      </c>
      <c r="I23" s="4"/>
      <c r="J23" s="4"/>
      <c r="K23" s="4"/>
    </row>
    <row r="24" spans="1:11" x14ac:dyDescent="0.25">
      <c r="A24" s="4" t="s">
        <v>338</v>
      </c>
      <c r="B24" s="4">
        <v>4</v>
      </c>
      <c r="C24" s="4">
        <v>1660421700</v>
      </c>
      <c r="D24" s="4">
        <v>1660425300</v>
      </c>
      <c r="E24" s="4"/>
      <c r="F24" s="4"/>
      <c r="G24" s="4"/>
      <c r="H24" s="7" t="s">
        <v>101</v>
      </c>
      <c r="I24" s="4"/>
      <c r="J24" s="4"/>
      <c r="K24" s="4"/>
    </row>
    <row r="25" spans="1:11" x14ac:dyDescent="0.25">
      <c r="A25" s="4" t="s">
        <v>292</v>
      </c>
      <c r="B25" s="4">
        <v>6</v>
      </c>
      <c r="C25" s="4">
        <v>1660422600</v>
      </c>
      <c r="D25" s="4">
        <v>1660425300</v>
      </c>
      <c r="E25" s="4"/>
      <c r="F25" s="4"/>
      <c r="G25" s="4"/>
      <c r="H25" s="7" t="s">
        <v>108</v>
      </c>
      <c r="I25" s="4"/>
      <c r="J25" s="4"/>
      <c r="K25" s="4"/>
    </row>
    <row r="26" spans="1:11" x14ac:dyDescent="0.25">
      <c r="A26" s="4" t="s">
        <v>325</v>
      </c>
      <c r="B26" s="4">
        <v>1</v>
      </c>
      <c r="C26" s="4">
        <v>1660423500</v>
      </c>
      <c r="D26" s="4">
        <v>1660427100</v>
      </c>
      <c r="E26" s="4"/>
      <c r="F26" s="4"/>
      <c r="G26" s="4"/>
      <c r="H26" s="7" t="s">
        <v>28</v>
      </c>
      <c r="I26" s="4"/>
      <c r="J26" s="4"/>
      <c r="K26" s="4"/>
    </row>
    <row r="27" spans="1:11" x14ac:dyDescent="0.25">
      <c r="A27" s="4" t="s">
        <v>335</v>
      </c>
      <c r="B27" s="4">
        <v>4</v>
      </c>
      <c r="C27" s="4">
        <v>1660427100</v>
      </c>
      <c r="D27" s="4">
        <v>1660430100</v>
      </c>
      <c r="E27" s="4"/>
      <c r="F27" s="4"/>
      <c r="G27" s="4"/>
      <c r="H27" s="7" t="s">
        <v>82</v>
      </c>
      <c r="I27" s="4"/>
      <c r="J27" s="4"/>
      <c r="K27" s="4"/>
    </row>
    <row r="28" spans="1:11" x14ac:dyDescent="0.25">
      <c r="A28" s="4" t="s">
        <v>330</v>
      </c>
      <c r="B28" s="4">
        <v>1</v>
      </c>
      <c r="C28" s="4">
        <v>1660431600</v>
      </c>
      <c r="D28" s="4">
        <v>1660434900</v>
      </c>
      <c r="E28" s="4"/>
      <c r="F28" s="4"/>
      <c r="G28" s="4"/>
      <c r="H28" s="7" t="s">
        <v>252</v>
      </c>
      <c r="I28" s="4"/>
      <c r="J28" s="4"/>
      <c r="K28" s="4"/>
    </row>
    <row r="29" spans="1:11" x14ac:dyDescent="0.25">
      <c r="A29" s="4" t="s">
        <v>427</v>
      </c>
      <c r="B29" s="4">
        <v>5</v>
      </c>
      <c r="C29" s="4">
        <v>1660485600</v>
      </c>
      <c r="D29" s="4">
        <v>1660496400</v>
      </c>
      <c r="E29" s="4"/>
      <c r="F29" s="4"/>
      <c r="G29" s="4"/>
      <c r="H29" s="7"/>
      <c r="I29" s="4"/>
      <c r="J29" s="4"/>
      <c r="K29" s="4"/>
    </row>
    <row r="30" spans="1:11" x14ac:dyDescent="0.25">
      <c r="A30" s="4" t="s">
        <v>429</v>
      </c>
      <c r="B30" s="4">
        <v>2</v>
      </c>
      <c r="C30" s="4">
        <v>1660485600</v>
      </c>
      <c r="D30" s="4">
        <v>1660496400</v>
      </c>
      <c r="E30" s="4"/>
      <c r="F30" s="4"/>
      <c r="G30" s="4"/>
      <c r="H30" s="7"/>
      <c r="I30" s="4"/>
      <c r="J30" s="4"/>
      <c r="K30" s="4"/>
    </row>
    <row r="31" spans="1:11" x14ac:dyDescent="0.25">
      <c r="A31" s="4" t="s">
        <v>321</v>
      </c>
      <c r="B31" s="4">
        <v>1</v>
      </c>
      <c r="C31" s="4">
        <v>1660489200</v>
      </c>
      <c r="D31" s="4">
        <v>1660491900</v>
      </c>
      <c r="E31" s="4"/>
      <c r="F31" s="4"/>
      <c r="G31" s="4"/>
      <c r="H31" s="7" t="s">
        <v>227</v>
      </c>
      <c r="I31" s="4"/>
      <c r="J31" s="4"/>
      <c r="K31" s="4"/>
    </row>
    <row r="32" spans="1:11" x14ac:dyDescent="0.25">
      <c r="A32" s="4" t="s">
        <v>430</v>
      </c>
      <c r="B32" s="4">
        <v>2</v>
      </c>
      <c r="C32" s="4">
        <v>1660494600</v>
      </c>
      <c r="D32" s="4">
        <v>1660498200</v>
      </c>
      <c r="E32" s="4"/>
      <c r="F32" s="4"/>
      <c r="G32" s="4"/>
      <c r="H32" s="7"/>
      <c r="I32" s="4"/>
      <c r="J32" s="4"/>
      <c r="K32" s="4"/>
    </row>
    <row r="33" spans="1:11" x14ac:dyDescent="0.25">
      <c r="A33" s="4" t="s">
        <v>421</v>
      </c>
      <c r="B33" s="4">
        <v>1</v>
      </c>
      <c r="C33" s="4">
        <v>1660478400</v>
      </c>
      <c r="D33" s="4">
        <v>1660489200</v>
      </c>
      <c r="E33" s="4"/>
      <c r="F33" s="4"/>
      <c r="G33" s="4"/>
      <c r="H33" s="7" t="s">
        <v>422</v>
      </c>
      <c r="I33" s="4"/>
      <c r="J33" s="4"/>
      <c r="K33" s="4"/>
    </row>
    <row r="34" spans="1:11" x14ac:dyDescent="0.25">
      <c r="A34" s="4" t="s">
        <v>307</v>
      </c>
      <c r="B34" s="4">
        <v>3</v>
      </c>
      <c r="C34" s="4">
        <v>1660492800</v>
      </c>
      <c r="D34" s="4">
        <v>1660495500</v>
      </c>
      <c r="E34" s="4"/>
      <c r="F34" s="4"/>
      <c r="G34" s="4"/>
      <c r="H34" s="7" t="s">
        <v>168</v>
      </c>
      <c r="I34" s="4"/>
      <c r="J34" s="4"/>
      <c r="K34" s="4"/>
    </row>
    <row r="35" spans="1:11" x14ac:dyDescent="0.25">
      <c r="A35" s="4" t="s">
        <v>334</v>
      </c>
      <c r="B35" s="4">
        <v>1</v>
      </c>
      <c r="C35" s="4">
        <v>1660497300</v>
      </c>
      <c r="D35" s="4">
        <v>1660500900</v>
      </c>
      <c r="E35" s="4"/>
      <c r="F35" s="4"/>
      <c r="G35" s="4"/>
      <c r="H35" s="7" t="s">
        <v>79</v>
      </c>
      <c r="I35" s="4"/>
      <c r="J35" s="4"/>
      <c r="K35" s="4"/>
    </row>
    <row r="36" spans="1:11" x14ac:dyDescent="0.25">
      <c r="A36" s="4" t="s">
        <v>299</v>
      </c>
      <c r="B36" s="4">
        <v>2</v>
      </c>
      <c r="C36" s="4">
        <v>1660500900</v>
      </c>
      <c r="D36" s="4">
        <v>1660501800</v>
      </c>
      <c r="E36" s="4"/>
      <c r="F36" s="4"/>
      <c r="G36" s="4"/>
      <c r="H36" s="7" t="s">
        <v>131</v>
      </c>
      <c r="I36" s="4"/>
      <c r="J36" s="4"/>
      <c r="K36" s="4"/>
    </row>
    <row r="37" spans="1:11" x14ac:dyDescent="0.25">
      <c r="A37" s="4" t="s">
        <v>313</v>
      </c>
      <c r="B37" s="4">
        <v>3</v>
      </c>
      <c r="C37" s="4">
        <v>1660503600</v>
      </c>
      <c r="D37" s="4">
        <v>1660507200</v>
      </c>
      <c r="E37" s="4"/>
      <c r="F37" s="4"/>
      <c r="G37" s="4"/>
      <c r="H37" s="7" t="s">
        <v>189</v>
      </c>
      <c r="I37" s="4"/>
      <c r="J37" s="4"/>
      <c r="K37" s="4"/>
    </row>
    <row r="38" spans="1:11" x14ac:dyDescent="0.25">
      <c r="A38" s="4" t="s">
        <v>315</v>
      </c>
      <c r="B38" s="4">
        <v>4</v>
      </c>
      <c r="C38" s="4">
        <v>1660508100</v>
      </c>
      <c r="D38" s="4">
        <v>1660512600</v>
      </c>
      <c r="E38" s="4"/>
      <c r="F38" s="4"/>
      <c r="G38" s="4"/>
      <c r="H38" s="7" t="s">
        <v>198</v>
      </c>
      <c r="I38" s="4"/>
      <c r="J38" s="4"/>
      <c r="K38" s="4"/>
    </row>
    <row r="39" spans="1:11" x14ac:dyDescent="0.25">
      <c r="A39" s="4" t="s">
        <v>286</v>
      </c>
      <c r="B39" s="4">
        <v>3</v>
      </c>
      <c r="C39" s="4">
        <v>1660509000</v>
      </c>
      <c r="D39" s="4">
        <v>1660513500</v>
      </c>
      <c r="E39" s="4"/>
      <c r="F39" s="4"/>
      <c r="G39" s="4"/>
      <c r="H39" s="7" t="s">
        <v>70</v>
      </c>
      <c r="I39" s="4"/>
      <c r="J39" s="4"/>
      <c r="K39" s="4"/>
    </row>
    <row r="40" spans="1:11" x14ac:dyDescent="0.25">
      <c r="A40" s="4" t="s">
        <v>324</v>
      </c>
      <c r="B40" s="4">
        <v>1</v>
      </c>
      <c r="C40" s="4">
        <v>1660509000</v>
      </c>
      <c r="D40" s="4">
        <v>1660513500</v>
      </c>
      <c r="E40" s="4"/>
      <c r="F40" s="4"/>
      <c r="G40" s="4"/>
      <c r="H40" s="7" t="s">
        <v>15</v>
      </c>
      <c r="I40" s="4"/>
      <c r="J40" s="4"/>
      <c r="K40" s="4"/>
    </row>
    <row r="41" spans="1:11" x14ac:dyDescent="0.25">
      <c r="A41" s="4" t="s">
        <v>329</v>
      </c>
      <c r="B41" s="4">
        <v>1</v>
      </c>
      <c r="C41" s="4">
        <v>1660589100</v>
      </c>
      <c r="D41" s="4">
        <v>1660592700</v>
      </c>
      <c r="E41" s="4"/>
      <c r="F41" s="4"/>
      <c r="G41" s="4"/>
      <c r="H41" s="7" t="s">
        <v>249</v>
      </c>
      <c r="I41" s="4"/>
      <c r="J41" s="4"/>
      <c r="K41" s="4"/>
    </row>
    <row r="42" spans="1:11" x14ac:dyDescent="0.25">
      <c r="A42" s="4" t="s">
        <v>340</v>
      </c>
      <c r="B42" s="4">
        <v>1</v>
      </c>
      <c r="C42" s="4">
        <v>1660592700</v>
      </c>
      <c r="D42" s="4">
        <v>1660595400</v>
      </c>
      <c r="E42" s="4"/>
      <c r="F42" s="4"/>
      <c r="G42" s="4"/>
      <c r="H42" s="7" t="s">
        <v>137</v>
      </c>
      <c r="I42" s="4"/>
      <c r="J42" s="4"/>
      <c r="K42" s="4"/>
    </row>
    <row r="43" spans="1:11" x14ac:dyDescent="0.25">
      <c r="A43" s="4" t="s">
        <v>320</v>
      </c>
      <c r="B43" s="4">
        <v>1</v>
      </c>
      <c r="C43" s="4">
        <v>1660592700</v>
      </c>
      <c r="D43" s="4">
        <v>1660593600</v>
      </c>
      <c r="E43" s="4"/>
      <c r="F43" s="4"/>
      <c r="G43" s="4"/>
      <c r="H43" s="7" t="s">
        <v>224</v>
      </c>
      <c r="I43" s="4"/>
      <c r="J43" s="4"/>
      <c r="K43" s="4"/>
    </row>
    <row r="44" spans="1:11" x14ac:dyDescent="0.25">
      <c r="A44" s="4" t="s">
        <v>305</v>
      </c>
      <c r="B44" s="4">
        <v>1</v>
      </c>
      <c r="C44" s="4">
        <v>1660594500</v>
      </c>
      <c r="D44" s="4">
        <v>1660599900</v>
      </c>
      <c r="E44" s="4"/>
      <c r="F44" s="4"/>
      <c r="G44" s="4"/>
      <c r="H44" s="7" t="s">
        <v>30</v>
      </c>
      <c r="I44" s="4"/>
      <c r="J44" s="4"/>
      <c r="K44" s="4"/>
    </row>
    <row r="45" spans="1:11" x14ac:dyDescent="0.25">
      <c r="A45" s="4" t="s">
        <v>301</v>
      </c>
      <c r="B45" s="4">
        <v>1</v>
      </c>
      <c r="C45" s="4">
        <v>1660595400</v>
      </c>
      <c r="D45" s="4">
        <v>1660599900</v>
      </c>
      <c r="E45" s="4"/>
      <c r="F45" s="4"/>
      <c r="G45" s="4"/>
      <c r="H45" s="7" t="s">
        <v>24</v>
      </c>
      <c r="I45" s="4"/>
      <c r="J45" s="4"/>
      <c r="K45" s="4"/>
    </row>
    <row r="46" spans="1:11" x14ac:dyDescent="0.25">
      <c r="A46" s="4" t="s">
        <v>331</v>
      </c>
      <c r="B46" s="4">
        <v>4</v>
      </c>
      <c r="C46" s="4">
        <v>1660595400</v>
      </c>
      <c r="D46" s="4">
        <v>1660599000</v>
      </c>
      <c r="E46" s="4"/>
      <c r="F46" s="4"/>
      <c r="G46" s="4"/>
      <c r="H46" s="7" t="s">
        <v>267</v>
      </c>
      <c r="I46" s="4"/>
      <c r="J46" s="4"/>
      <c r="K46" s="4"/>
    </row>
    <row r="47" spans="1:11" x14ac:dyDescent="0.25">
      <c r="A47" s="4" t="s">
        <v>328</v>
      </c>
      <c r="B47" s="4">
        <v>1</v>
      </c>
      <c r="C47" s="4">
        <v>1660650300</v>
      </c>
      <c r="D47" s="4">
        <v>1660653900</v>
      </c>
      <c r="E47" s="4"/>
      <c r="F47" s="4"/>
      <c r="G47" s="4"/>
      <c r="H47" s="7" t="s">
        <v>246</v>
      </c>
      <c r="I47" s="4"/>
      <c r="J47" s="4"/>
      <c r="K47" s="4"/>
    </row>
    <row r="48" spans="1:11" x14ac:dyDescent="0.25">
      <c r="A48" s="4" t="s">
        <v>308</v>
      </c>
      <c r="B48" s="4">
        <v>1</v>
      </c>
      <c r="C48" s="4">
        <v>1660675500</v>
      </c>
      <c r="D48" s="4">
        <v>1660678200</v>
      </c>
      <c r="E48" s="4"/>
      <c r="F48" s="4"/>
      <c r="G48" s="4"/>
      <c r="H48" s="7" t="s">
        <v>173</v>
      </c>
      <c r="I48" s="4"/>
      <c r="J48" s="4"/>
      <c r="K48" s="4"/>
    </row>
    <row r="49" spans="1:11" x14ac:dyDescent="0.25">
      <c r="A49" s="4" t="s">
        <v>260</v>
      </c>
      <c r="B49" s="4">
        <v>1</v>
      </c>
      <c r="C49" s="4">
        <v>1660677300</v>
      </c>
      <c r="D49" s="4">
        <v>1660680000</v>
      </c>
      <c r="E49" s="4"/>
      <c r="F49" s="4"/>
      <c r="G49" s="4"/>
      <c r="H49" s="7" t="s">
        <v>261</v>
      </c>
      <c r="I49" s="4"/>
      <c r="J49" s="4"/>
      <c r="K49" s="4"/>
    </row>
    <row r="50" spans="1:11" x14ac:dyDescent="0.25">
      <c r="A50" s="4" t="s">
        <v>297</v>
      </c>
      <c r="B50" s="4">
        <v>6</v>
      </c>
      <c r="C50" s="4">
        <v>1660678200</v>
      </c>
      <c r="D50" s="4">
        <v>1660679100</v>
      </c>
      <c r="E50" s="4"/>
      <c r="F50" s="4"/>
      <c r="G50" s="4"/>
      <c r="H50" s="7" t="s">
        <v>122</v>
      </c>
      <c r="I50" s="4"/>
      <c r="J50" s="4"/>
      <c r="K50" s="4"/>
    </row>
    <row r="51" spans="1:11" x14ac:dyDescent="0.25">
      <c r="A51" s="4" t="s">
        <v>283</v>
      </c>
      <c r="B51" s="4">
        <v>3</v>
      </c>
      <c r="C51" s="4">
        <v>1660679100</v>
      </c>
      <c r="D51" s="4">
        <v>1660681800</v>
      </c>
      <c r="E51" s="4"/>
      <c r="F51" s="4"/>
      <c r="G51" s="4"/>
      <c r="H51" s="7" t="s">
        <v>59</v>
      </c>
      <c r="I51" s="4"/>
      <c r="J51" s="4"/>
      <c r="K51" s="4"/>
    </row>
    <row r="52" spans="1:11" x14ac:dyDescent="0.25">
      <c r="A52" s="4" t="s">
        <v>281</v>
      </c>
      <c r="B52" s="4">
        <v>1</v>
      </c>
      <c r="C52" s="4">
        <v>1660680900</v>
      </c>
      <c r="D52" s="4">
        <v>1660686300</v>
      </c>
      <c r="E52" s="4"/>
      <c r="F52" s="4"/>
      <c r="G52" s="4"/>
      <c r="H52" s="7" t="s">
        <v>51</v>
      </c>
      <c r="I52" s="4"/>
      <c r="J52" s="4"/>
      <c r="K52" s="4"/>
    </row>
    <row r="53" spans="1:11" x14ac:dyDescent="0.25">
      <c r="A53" s="4" t="s">
        <v>349</v>
      </c>
      <c r="B53" s="4">
        <v>1</v>
      </c>
      <c r="C53" s="4">
        <v>1660680900</v>
      </c>
      <c r="D53" s="4">
        <v>1660685400</v>
      </c>
      <c r="E53" s="4"/>
      <c r="F53" s="4"/>
      <c r="G53" s="4"/>
      <c r="H53" s="7" t="s">
        <v>264</v>
      </c>
      <c r="I53" s="4"/>
      <c r="J53" s="4"/>
      <c r="K53" s="4"/>
    </row>
    <row r="54" spans="1:11" x14ac:dyDescent="0.25">
      <c r="A54" s="4" t="s">
        <v>333</v>
      </c>
      <c r="B54" s="4">
        <v>3</v>
      </c>
      <c r="C54" s="4">
        <v>1660680900</v>
      </c>
      <c r="D54" s="4">
        <v>1660684500</v>
      </c>
      <c r="E54" s="4"/>
      <c r="F54" s="4"/>
      <c r="G54" s="4"/>
      <c r="H54" s="7" t="s">
        <v>276</v>
      </c>
      <c r="I54" s="4"/>
      <c r="J54" s="4"/>
      <c r="K54" s="4"/>
    </row>
    <row r="55" spans="1:11" x14ac:dyDescent="0.25">
      <c r="A55" s="4" t="s">
        <v>314</v>
      </c>
      <c r="B55" s="4">
        <v>5</v>
      </c>
      <c r="C55" s="4">
        <v>1660736700</v>
      </c>
      <c r="D55" s="4">
        <v>1660740300</v>
      </c>
      <c r="E55" s="4"/>
      <c r="F55" s="4"/>
      <c r="G55" s="4"/>
      <c r="H55" s="7" t="s">
        <v>195</v>
      </c>
      <c r="I55" s="4"/>
      <c r="J55" s="4"/>
      <c r="K55" s="4"/>
    </row>
    <row r="56" spans="1:11" x14ac:dyDescent="0.25">
      <c r="A56" s="4" t="s">
        <v>339</v>
      </c>
      <c r="B56" s="4">
        <v>1</v>
      </c>
      <c r="C56" s="4">
        <v>1660748400</v>
      </c>
      <c r="D56" s="4">
        <v>1660752000</v>
      </c>
      <c r="E56" s="4"/>
      <c r="F56" s="4"/>
      <c r="G56" s="4"/>
      <c r="H56" s="7" t="s">
        <v>128</v>
      </c>
      <c r="I56" s="4"/>
      <c r="J56" s="4"/>
      <c r="K56" s="4"/>
    </row>
    <row r="57" spans="1:11" x14ac:dyDescent="0.25">
      <c r="A57" s="4" t="s">
        <v>170</v>
      </c>
      <c r="B57" s="4">
        <v>3</v>
      </c>
      <c r="C57" s="4">
        <v>1660761900</v>
      </c>
      <c r="D57" s="4">
        <v>1660764600</v>
      </c>
      <c r="E57" s="4"/>
      <c r="F57" s="4"/>
      <c r="G57" s="4"/>
      <c r="H57" s="7" t="s">
        <v>19</v>
      </c>
      <c r="I57" s="4"/>
      <c r="J57" s="4"/>
      <c r="K57" s="4"/>
    </row>
    <row r="58" spans="1:11" x14ac:dyDescent="0.25">
      <c r="A58" s="4" t="s">
        <v>296</v>
      </c>
      <c r="B58" s="4">
        <v>4</v>
      </c>
      <c r="C58" s="4">
        <v>1660764600</v>
      </c>
      <c r="D58" s="4">
        <v>1660765500</v>
      </c>
      <c r="E58" s="4"/>
      <c r="F58" s="4"/>
      <c r="G58" s="4"/>
      <c r="H58" s="7" t="s">
        <v>39</v>
      </c>
      <c r="I58" s="4"/>
      <c r="J58" s="4"/>
      <c r="K58" s="4"/>
    </row>
    <row r="59" spans="1:11" x14ac:dyDescent="0.25">
      <c r="A59" s="4" t="s">
        <v>345</v>
      </c>
      <c r="B59" s="4">
        <v>1</v>
      </c>
      <c r="C59" s="4">
        <v>1660765500</v>
      </c>
      <c r="D59" s="4">
        <v>1660768200</v>
      </c>
      <c r="E59" s="4"/>
      <c r="F59" s="4"/>
      <c r="G59" s="4"/>
      <c r="H59" s="7" t="s">
        <v>210</v>
      </c>
      <c r="I59" s="4"/>
      <c r="J59" s="4"/>
      <c r="K59" s="4"/>
    </row>
    <row r="60" spans="1:11" x14ac:dyDescent="0.25">
      <c r="A60" s="4" t="s">
        <v>302</v>
      </c>
      <c r="B60" s="4">
        <v>4</v>
      </c>
      <c r="C60" s="4">
        <v>1660767300</v>
      </c>
      <c r="D60" s="4">
        <v>1660772700</v>
      </c>
      <c r="E60" s="4"/>
      <c r="F60" s="4"/>
      <c r="G60" s="4"/>
      <c r="H60" s="7" t="s">
        <v>142</v>
      </c>
      <c r="I60" s="4"/>
      <c r="J60" s="4"/>
      <c r="K60" s="4"/>
    </row>
    <row r="61" spans="1:11" x14ac:dyDescent="0.25">
      <c r="A61" s="4" t="s">
        <v>332</v>
      </c>
      <c r="B61" s="4">
        <v>2</v>
      </c>
      <c r="C61" s="4">
        <v>1660767300</v>
      </c>
      <c r="D61" s="4">
        <v>1660771800</v>
      </c>
      <c r="E61" s="4"/>
      <c r="F61" s="4"/>
      <c r="G61" s="4"/>
      <c r="H61" s="7" t="s">
        <v>273</v>
      </c>
      <c r="I61" s="4"/>
      <c r="J61" s="4"/>
      <c r="K61" s="4"/>
    </row>
    <row r="62" spans="1:11" x14ac:dyDescent="0.25">
      <c r="A62" s="4" t="s">
        <v>429</v>
      </c>
      <c r="B62" s="4">
        <v>3</v>
      </c>
      <c r="C62" s="4">
        <v>1660744800</v>
      </c>
      <c r="D62" s="4">
        <v>1660755600</v>
      </c>
      <c r="E62" s="4"/>
      <c r="F62" s="4"/>
      <c r="G62" s="4"/>
      <c r="H62" s="7"/>
      <c r="I62" s="4"/>
      <c r="J62" s="4"/>
      <c r="K62" s="4"/>
    </row>
    <row r="63" spans="1:11" x14ac:dyDescent="0.25">
      <c r="A63" s="4" t="s">
        <v>348</v>
      </c>
      <c r="B63" s="4">
        <v>1</v>
      </c>
      <c r="C63" s="4">
        <v>1660768200</v>
      </c>
      <c r="D63" s="4">
        <v>1660772700</v>
      </c>
      <c r="E63" s="4"/>
      <c r="F63" s="4"/>
      <c r="G63" s="4"/>
      <c r="H63" s="7" t="s">
        <v>258</v>
      </c>
      <c r="I63" s="4"/>
      <c r="J63" s="4"/>
      <c r="K63" s="4"/>
    </row>
    <row r="64" spans="1:11" x14ac:dyDescent="0.25">
      <c r="A64" s="4" t="s">
        <v>291</v>
      </c>
      <c r="B64" s="4">
        <v>1</v>
      </c>
      <c r="C64" s="4">
        <v>1660823100</v>
      </c>
      <c r="D64" s="4">
        <v>1660826700</v>
      </c>
      <c r="E64" s="4"/>
      <c r="F64" s="4"/>
      <c r="G64" s="4"/>
      <c r="H64" s="7" t="s">
        <v>97</v>
      </c>
      <c r="I64" s="4"/>
      <c r="J64" s="4"/>
      <c r="K64" s="4"/>
    </row>
    <row r="65" spans="1:11" x14ac:dyDescent="0.25">
      <c r="A65" s="4" t="s">
        <v>316</v>
      </c>
      <c r="B65" s="4">
        <v>2</v>
      </c>
      <c r="C65" s="4">
        <v>1660847400</v>
      </c>
      <c r="D65" s="4">
        <v>1660850100</v>
      </c>
      <c r="E65" s="4"/>
      <c r="F65" s="4"/>
      <c r="G65" s="4"/>
      <c r="H65" s="7" t="s">
        <v>201</v>
      </c>
      <c r="I65" s="4"/>
      <c r="J65" s="4"/>
      <c r="K65" s="4"/>
    </row>
    <row r="66" spans="1:11" x14ac:dyDescent="0.25">
      <c r="A66" s="4" t="s">
        <v>282</v>
      </c>
      <c r="B66" s="4">
        <v>1</v>
      </c>
      <c r="C66" s="4">
        <v>1660850100</v>
      </c>
      <c r="D66" s="4">
        <v>1660851000</v>
      </c>
      <c r="E66" s="4"/>
      <c r="F66" s="4"/>
      <c r="G66" s="4"/>
      <c r="H66" s="7" t="s">
        <v>55</v>
      </c>
      <c r="I66" s="4"/>
      <c r="J66" s="4"/>
      <c r="K66" s="4"/>
    </row>
    <row r="67" spans="1:11" x14ac:dyDescent="0.25">
      <c r="A67" s="4" t="s">
        <v>300</v>
      </c>
      <c r="B67" s="4">
        <v>3</v>
      </c>
      <c r="C67" s="4">
        <v>1660852800</v>
      </c>
      <c r="D67" s="4">
        <v>1660856400</v>
      </c>
      <c r="E67" s="4"/>
      <c r="F67" s="4"/>
      <c r="G67" s="4"/>
      <c r="H67" s="7" t="s">
        <v>134</v>
      </c>
      <c r="I67" s="4"/>
      <c r="J67" s="4"/>
      <c r="K67" s="4"/>
    </row>
    <row r="68" spans="1:11" x14ac:dyDescent="0.25">
      <c r="A68" s="4" t="s">
        <v>150</v>
      </c>
      <c r="B68" s="4">
        <v>6</v>
      </c>
      <c r="C68" s="4">
        <v>1660853700</v>
      </c>
      <c r="D68" s="4">
        <v>1660858200</v>
      </c>
      <c r="E68" s="4"/>
      <c r="F68" s="4"/>
      <c r="G68" s="4"/>
      <c r="H68" s="7" t="s">
        <v>151</v>
      </c>
      <c r="I68" s="4"/>
      <c r="J68" s="4"/>
      <c r="K68" s="4"/>
    </row>
    <row r="69" spans="1:11" x14ac:dyDescent="0.25">
      <c r="A69" s="4" t="s">
        <v>287</v>
      </c>
      <c r="B69" s="4">
        <v>1</v>
      </c>
      <c r="C69" s="4">
        <v>1660854600</v>
      </c>
      <c r="D69" s="4">
        <v>1660859040</v>
      </c>
      <c r="E69" s="4"/>
      <c r="F69" s="4"/>
      <c r="G69" s="4"/>
      <c r="H69" s="7" t="s">
        <v>73</v>
      </c>
      <c r="I69" s="4"/>
      <c r="J69" s="4"/>
      <c r="K69" s="4"/>
    </row>
    <row r="70" spans="1:11" x14ac:dyDescent="0.25">
      <c r="A70" s="4" t="s">
        <v>294</v>
      </c>
      <c r="B70" s="4">
        <v>1</v>
      </c>
      <c r="C70" s="4">
        <v>1660858200</v>
      </c>
      <c r="D70" s="4">
        <v>1660862700</v>
      </c>
      <c r="E70" s="4"/>
      <c r="F70" s="4"/>
      <c r="G70" s="4"/>
      <c r="H70" s="7" t="s">
        <v>114</v>
      </c>
      <c r="I70" s="4"/>
      <c r="J70" s="4"/>
      <c r="K70" s="4"/>
    </row>
    <row r="71" spans="1:11" x14ac:dyDescent="0.25">
      <c r="A71" s="4" t="s">
        <v>327</v>
      </c>
      <c r="B71" s="4">
        <v>1</v>
      </c>
      <c r="C71" s="4">
        <v>1660940100</v>
      </c>
      <c r="D71" s="4">
        <v>1660945500</v>
      </c>
      <c r="E71" s="4"/>
      <c r="F71" s="4"/>
      <c r="G71" s="4"/>
      <c r="H71" s="7" t="s">
        <v>243</v>
      </c>
      <c r="I71" s="4"/>
      <c r="J71" s="4"/>
      <c r="K71" s="4"/>
    </row>
    <row r="72" spans="1:11" x14ac:dyDescent="0.25">
      <c r="A72" s="4" t="s">
        <v>424</v>
      </c>
      <c r="B72" s="4">
        <v>2</v>
      </c>
      <c r="C72" s="4">
        <v>1660851000</v>
      </c>
      <c r="D72" s="4">
        <v>1660853400</v>
      </c>
      <c r="E72" s="4"/>
      <c r="F72" s="4"/>
      <c r="G72" s="4"/>
      <c r="H72" s="7" t="s">
        <v>426</v>
      </c>
      <c r="I72" s="4"/>
      <c r="J72" s="4"/>
      <c r="K72" s="4"/>
    </row>
    <row r="73" spans="1:11" x14ac:dyDescent="0.25">
      <c r="A73" s="4" t="s">
        <v>342</v>
      </c>
      <c r="B73" s="4">
        <v>2</v>
      </c>
      <c r="C73" s="4">
        <v>1660941600</v>
      </c>
      <c r="D73" s="4">
        <v>1660946100</v>
      </c>
      <c r="E73" s="4"/>
      <c r="F73" s="4"/>
      <c r="G73" s="4"/>
      <c r="H73" s="7" t="s">
        <v>179</v>
      </c>
      <c r="I73" s="4"/>
      <c r="J73" s="4"/>
      <c r="K73" s="4"/>
    </row>
    <row r="74" spans="1:11" x14ac:dyDescent="0.25">
      <c r="A74" s="4" t="s">
        <v>347</v>
      </c>
      <c r="B74" s="4">
        <v>1</v>
      </c>
      <c r="C74" s="4">
        <v>1660948200</v>
      </c>
      <c r="D74" s="4">
        <v>1660953600</v>
      </c>
      <c r="E74" s="4"/>
      <c r="F74" s="4"/>
      <c r="G74" s="4"/>
      <c r="H74" s="7" t="s">
        <v>255</v>
      </c>
      <c r="I74" s="4"/>
      <c r="J74" s="4"/>
      <c r="K74" s="4"/>
    </row>
    <row r="75" spans="1:11" x14ac:dyDescent="0.25">
      <c r="A75" s="4" t="s">
        <v>206</v>
      </c>
      <c r="B75" s="4">
        <v>1</v>
      </c>
      <c r="C75" s="4">
        <v>1661004000</v>
      </c>
      <c r="D75" s="4">
        <v>1661007000</v>
      </c>
      <c r="E75" s="4"/>
      <c r="F75" s="4"/>
      <c r="G75" s="4"/>
      <c r="H75" s="7" t="s">
        <v>207</v>
      </c>
      <c r="I75" s="4"/>
      <c r="J75" s="4"/>
      <c r="K75" s="4"/>
    </row>
    <row r="76" spans="1:11" x14ac:dyDescent="0.25">
      <c r="A76" s="4" t="s">
        <v>346</v>
      </c>
      <c r="B76" s="4">
        <v>2</v>
      </c>
      <c r="C76" s="4">
        <v>1661021100</v>
      </c>
      <c r="D76" s="4">
        <v>1661023800</v>
      </c>
      <c r="E76" s="4"/>
      <c r="F76" s="4"/>
      <c r="G76" s="4"/>
      <c r="H76" s="7" t="s">
        <v>221</v>
      </c>
      <c r="I76" s="4"/>
      <c r="J76" s="4"/>
      <c r="K76" s="4"/>
    </row>
    <row r="77" spans="1:11" x14ac:dyDescent="0.25">
      <c r="A77" s="4" t="s">
        <v>326</v>
      </c>
      <c r="B77" s="4">
        <v>3</v>
      </c>
      <c r="C77" s="4">
        <v>1661025600</v>
      </c>
      <c r="D77" s="4">
        <v>1661030100</v>
      </c>
      <c r="E77" s="4"/>
      <c r="F77" s="4"/>
      <c r="G77" s="4"/>
      <c r="H77" s="7" t="s">
        <v>240</v>
      </c>
      <c r="I77" s="4"/>
      <c r="J77" s="4"/>
      <c r="K77" s="4"/>
    </row>
    <row r="78" spans="1:11" x14ac:dyDescent="0.25">
      <c r="A78" s="4" t="s">
        <v>164</v>
      </c>
      <c r="B78" s="4">
        <v>3</v>
      </c>
      <c r="C78" s="4">
        <v>1661026500</v>
      </c>
      <c r="D78" s="4">
        <v>1661031000</v>
      </c>
      <c r="E78" s="4"/>
      <c r="F78" s="4"/>
      <c r="G78" s="4"/>
      <c r="H78" s="7" t="s">
        <v>165</v>
      </c>
      <c r="I78" s="4"/>
      <c r="J78" s="4"/>
      <c r="K78" s="4"/>
    </row>
    <row r="79" spans="1:11" x14ac:dyDescent="0.25">
      <c r="A79" t="s">
        <v>336</v>
      </c>
      <c r="B79" s="4">
        <v>1</v>
      </c>
      <c r="C79" s="4">
        <v>1661032800</v>
      </c>
      <c r="D79" s="4">
        <v>1661038200</v>
      </c>
      <c r="G79" s="4"/>
      <c r="H79" s="7" t="s">
        <v>85</v>
      </c>
    </row>
    <row r="80" spans="1:11" x14ac:dyDescent="0.25">
      <c r="A80" t="s">
        <v>104</v>
      </c>
      <c r="B80" s="4" t="s">
        <v>434</v>
      </c>
      <c r="C80" s="4">
        <v>1661090400</v>
      </c>
      <c r="D80" s="4">
        <v>1661094000</v>
      </c>
      <c r="G80" s="4"/>
      <c r="H80" s="7" t="s">
        <v>105</v>
      </c>
    </row>
    <row r="81" spans="1:8" x14ac:dyDescent="0.25">
      <c r="A81" t="s">
        <v>295</v>
      </c>
      <c r="B81" s="4" t="s">
        <v>434</v>
      </c>
      <c r="C81" s="4">
        <v>1661100300</v>
      </c>
      <c r="D81" s="4">
        <v>1661103000</v>
      </c>
      <c r="G81" s="4"/>
      <c r="H81" s="7" t="s">
        <v>117</v>
      </c>
    </row>
    <row r="82" spans="1:8" x14ac:dyDescent="0.25">
      <c r="A82" t="s">
        <v>317</v>
      </c>
      <c r="B82" s="4" t="s">
        <v>434</v>
      </c>
      <c r="C82" s="4">
        <v>1661105700</v>
      </c>
      <c r="D82" s="4">
        <v>1661109300</v>
      </c>
      <c r="G82" s="4"/>
      <c r="H82" s="7" t="s">
        <v>213</v>
      </c>
    </row>
    <row r="83" spans="1:8" x14ac:dyDescent="0.25">
      <c r="A83" t="s">
        <v>344</v>
      </c>
      <c r="B83" s="4" t="s">
        <v>434</v>
      </c>
      <c r="C83" s="4">
        <v>1661112000</v>
      </c>
      <c r="D83" s="4">
        <v>1661117400</v>
      </c>
      <c r="G83" s="4"/>
      <c r="H83" s="7" t="s">
        <v>204</v>
      </c>
    </row>
    <row r="84" spans="1:8" x14ac:dyDescent="0.25">
      <c r="A84" t="s">
        <v>318</v>
      </c>
      <c r="B84" s="4" t="s">
        <v>434</v>
      </c>
      <c r="C84" s="4">
        <v>1661112900</v>
      </c>
      <c r="D84" s="4">
        <v>1661117400</v>
      </c>
      <c r="G84" s="4"/>
      <c r="H84" s="7" t="s">
        <v>34</v>
      </c>
    </row>
  </sheetData>
  <hyperlinks>
    <hyperlink ref="H2" r:id="rId1" xr:uid="{D52B254C-7BDA-4ADB-9FED-F789048E626A}"/>
    <hyperlink ref="H3" r:id="rId2" xr:uid="{07735DF0-5B30-4955-BA63-1B8F52BEA070}"/>
    <hyperlink ref="H4" r:id="rId3" xr:uid="{9F7386B2-FD6E-4903-94AB-CB86E7B327A8}"/>
    <hyperlink ref="H5" r:id="rId4" xr:uid="{A63F513A-DD3F-4275-82D9-57BCDA36EFB7}"/>
    <hyperlink ref="H6" r:id="rId5" xr:uid="{1E56937A-054F-4C61-AA67-9DDD91CE8707}"/>
    <hyperlink ref="H7" r:id="rId6" xr:uid="{D7C2C906-6126-489D-B39B-9C2051D3BBF9}"/>
    <hyperlink ref="H8" r:id="rId7" xr:uid="{B0B5F05E-1846-4397-8A3B-6398927A7FE5}"/>
    <hyperlink ref="H9" r:id="rId8" xr:uid="{7C3D9216-8B38-46FF-AB8F-0707D45414EB}"/>
    <hyperlink ref="H10" r:id="rId9" xr:uid="{2F2B189B-CDEC-41D7-8D4D-253A242F8A58}"/>
    <hyperlink ref="H11" r:id="rId10" xr:uid="{F5A47E05-BF7A-49E9-8E26-9480EDA02079}"/>
    <hyperlink ref="H12" r:id="rId11" xr:uid="{4861A0D9-0253-431C-A1D3-B74B315D22F6}"/>
    <hyperlink ref="H13" r:id="rId12" xr:uid="{41A310D8-78DE-4BAB-808F-2EFC145AF615}"/>
    <hyperlink ref="H14" r:id="rId13" xr:uid="{FA7B1A6D-EE99-4D12-8F41-7A6128FB65D0}"/>
    <hyperlink ref="H15" r:id="rId14" xr:uid="{26B0CD06-1C6D-4B05-8945-9B7552B60013}"/>
    <hyperlink ref="H16" r:id="rId15" xr:uid="{097A647D-B594-4636-84BF-366AEF2D456C}"/>
    <hyperlink ref="H17" r:id="rId16" xr:uid="{503150D8-A19F-4845-BD4B-6E3A3E4B585A}"/>
    <hyperlink ref="H18" r:id="rId17" xr:uid="{989ADFE5-B61D-40CA-B66C-94548C4A931A}"/>
    <hyperlink ref="H19" r:id="rId18" xr:uid="{33C6C700-3028-45F8-BFF2-C515109E8BAB}"/>
    <hyperlink ref="H20" r:id="rId19" xr:uid="{9701DBE9-6E36-4CBA-949E-F49A04B3B7A7}"/>
    <hyperlink ref="H21" r:id="rId20" xr:uid="{007B6A58-2129-4BC0-8429-BD537151F844}"/>
    <hyperlink ref="H22" r:id="rId21" xr:uid="{B114F50E-8561-42C2-8A16-9A460A5673D5}"/>
    <hyperlink ref="H23" r:id="rId22" xr:uid="{198BB1E4-B7A6-4859-8731-E23AD740D87A}"/>
  </hyperlink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3ACA3-C13B-4606-97A4-71A4739C981B}">
  <sheetPr codeName="Tabelle3"/>
  <dimension ref="A1:K84"/>
  <sheetViews>
    <sheetView workbookViewId="0">
      <selection activeCell="K85" sqref="K85"/>
    </sheetView>
  </sheetViews>
  <sheetFormatPr baseColWidth="10" defaultRowHeight="15" x14ac:dyDescent="0.25"/>
  <cols>
    <col min="3" max="3" width="32.42578125" bestFit="1" customWidth="1"/>
    <col min="6" max="6" width="31.140625" bestFit="1" customWidth="1"/>
    <col min="8" max="8" width="15.140625" bestFit="1" customWidth="1"/>
    <col min="9" max="9" width="17.5703125" customWidth="1"/>
  </cols>
  <sheetData>
    <row r="1" spans="1:11" x14ac:dyDescent="0.25">
      <c r="A1" s="4" t="s">
        <v>45</v>
      </c>
      <c r="B1" s="4" t="s">
        <v>46</v>
      </c>
      <c r="C1" s="4" t="s">
        <v>1</v>
      </c>
      <c r="D1" s="4" t="s">
        <v>7</v>
      </c>
      <c r="E1" s="4" t="s">
        <v>47</v>
      </c>
      <c r="F1" s="4" t="s">
        <v>3</v>
      </c>
      <c r="G1" s="4" t="s">
        <v>2</v>
      </c>
      <c r="H1" s="4" t="s">
        <v>350</v>
      </c>
      <c r="I1" s="4" t="s">
        <v>4</v>
      </c>
    </row>
    <row r="2" spans="1:11" x14ac:dyDescent="0.25">
      <c r="A2" s="4" t="s">
        <v>180</v>
      </c>
      <c r="B2" s="4" t="s">
        <v>49</v>
      </c>
      <c r="C2" s="4" t="s">
        <v>181</v>
      </c>
      <c r="D2" s="4" t="s">
        <v>181</v>
      </c>
      <c r="E2" s="4" t="s">
        <v>9</v>
      </c>
      <c r="F2" s="4" t="s">
        <v>394</v>
      </c>
      <c r="G2" s="4" t="s">
        <v>64</v>
      </c>
      <c r="H2" s="5" t="str">
        <f>RIGHT(F2,16)</f>
        <v>10.08.2022 18:30</v>
      </c>
      <c r="I2" s="6">
        <f>H2+J2</f>
        <v>44783.8125</v>
      </c>
      <c r="J2">
        <f>K2/60/24</f>
        <v>4.1666666666666664E-2</v>
      </c>
      <c r="K2">
        <v>60</v>
      </c>
    </row>
    <row r="3" spans="1:11" x14ac:dyDescent="0.25">
      <c r="A3" s="4" t="s">
        <v>160</v>
      </c>
      <c r="B3" s="4" t="s">
        <v>49</v>
      </c>
      <c r="C3" s="4" t="s">
        <v>161</v>
      </c>
      <c r="D3" s="4" t="s">
        <v>161</v>
      </c>
      <c r="E3" s="4" t="s">
        <v>162</v>
      </c>
      <c r="F3" s="4" t="s">
        <v>387</v>
      </c>
      <c r="G3" s="4" t="s">
        <v>56</v>
      </c>
      <c r="H3" s="5" t="str">
        <f>RIGHT(F3,16)</f>
        <v>10.08.2022 19:30</v>
      </c>
      <c r="I3" s="6">
        <f>H3+J3</f>
        <v>44783.822916666664</v>
      </c>
      <c r="J3">
        <f>K3/60/24</f>
        <v>1.0416666666666666E-2</v>
      </c>
      <c r="K3">
        <v>15</v>
      </c>
    </row>
    <row r="4" spans="1:11" x14ac:dyDescent="0.25">
      <c r="A4" s="4" t="s">
        <v>190</v>
      </c>
      <c r="B4" s="4" t="s">
        <v>49</v>
      </c>
      <c r="C4" s="4" t="s">
        <v>191</v>
      </c>
      <c r="D4" s="4" t="s">
        <v>191</v>
      </c>
      <c r="E4" s="4" t="s">
        <v>192</v>
      </c>
      <c r="F4" s="4" t="s">
        <v>397</v>
      </c>
      <c r="G4" s="4" t="s">
        <v>64</v>
      </c>
      <c r="H4" s="5" t="str">
        <f>RIGHT(F4,16)</f>
        <v>10.08.2022 20:15</v>
      </c>
      <c r="I4" s="6">
        <f>H4+J4</f>
        <v>44783.90625</v>
      </c>
      <c r="J4">
        <f>K4/60/24</f>
        <v>6.25E-2</v>
      </c>
      <c r="K4">
        <v>90</v>
      </c>
    </row>
    <row r="5" spans="1:11" x14ac:dyDescent="0.25">
      <c r="A5" s="4" t="s">
        <v>89</v>
      </c>
      <c r="B5" s="4" t="s">
        <v>49</v>
      </c>
      <c r="C5" s="4" t="s">
        <v>90</v>
      </c>
      <c r="D5" s="4" t="s">
        <v>90</v>
      </c>
      <c r="E5" s="4" t="s">
        <v>91</v>
      </c>
      <c r="F5" s="4" t="s">
        <v>363</v>
      </c>
      <c r="G5" s="4" t="s">
        <v>52</v>
      </c>
      <c r="H5" s="5" t="str">
        <f>RIGHT(F5,16)</f>
        <v>10.08.2022 20:30</v>
      </c>
      <c r="I5" s="6">
        <f>H5+J5</f>
        <v>44783.90625</v>
      </c>
      <c r="J5">
        <f>K5/60/24</f>
        <v>5.2083333333333336E-2</v>
      </c>
      <c r="K5">
        <v>75</v>
      </c>
    </row>
    <row r="6" spans="1:11" x14ac:dyDescent="0.25">
      <c r="A6" s="4" t="s">
        <v>74</v>
      </c>
      <c r="B6" s="4" t="s">
        <v>49</v>
      </c>
      <c r="C6" s="4" t="s">
        <v>75</v>
      </c>
      <c r="D6" s="4" t="s">
        <v>75</v>
      </c>
      <c r="E6" s="4" t="s">
        <v>76</v>
      </c>
      <c r="F6" s="4" t="s">
        <v>358</v>
      </c>
      <c r="G6" s="4" t="s">
        <v>64</v>
      </c>
      <c r="H6" s="5" t="str">
        <f>RIGHT(F6,16)</f>
        <v>11.08.2022 18:30</v>
      </c>
      <c r="I6" s="6">
        <f>H6+J6</f>
        <v>44784.802083333336</v>
      </c>
      <c r="J6">
        <f>K6/60/24</f>
        <v>3.125E-2</v>
      </c>
      <c r="K6">
        <v>45</v>
      </c>
    </row>
    <row r="7" spans="1:11" x14ac:dyDescent="0.25">
      <c r="A7" s="4" t="s">
        <v>109</v>
      </c>
      <c r="B7" s="4" t="s">
        <v>49</v>
      </c>
      <c r="C7" s="4" t="s">
        <v>110</v>
      </c>
      <c r="D7" s="4" t="s">
        <v>110</v>
      </c>
      <c r="E7" s="4" t="s">
        <v>111</v>
      </c>
      <c r="F7" s="4" t="s">
        <v>369</v>
      </c>
      <c r="G7" s="4" t="s">
        <v>56</v>
      </c>
      <c r="H7" s="5" t="str">
        <f>RIGHT(F7,16)</f>
        <v>11.08.2022 19:15</v>
      </c>
      <c r="I7" s="6">
        <f>H7+J7</f>
        <v>44784.8125</v>
      </c>
      <c r="J7">
        <f>K7/60/24</f>
        <v>1.0416666666666666E-2</v>
      </c>
      <c r="K7">
        <v>15</v>
      </c>
    </row>
    <row r="8" spans="1:11" x14ac:dyDescent="0.25">
      <c r="A8" s="4" t="s">
        <v>231</v>
      </c>
      <c r="B8" s="4" t="s">
        <v>49</v>
      </c>
      <c r="C8" s="4" t="s">
        <v>232</v>
      </c>
      <c r="D8" s="4" t="s">
        <v>232</v>
      </c>
      <c r="E8" s="4" t="s">
        <v>233</v>
      </c>
      <c r="F8" s="4" t="s">
        <v>410</v>
      </c>
      <c r="G8" s="4" t="s">
        <v>64</v>
      </c>
      <c r="H8" s="5" t="str">
        <f>RIGHT(F8,16)</f>
        <v>11.08.2022 20:00</v>
      </c>
      <c r="I8" s="6">
        <f>H8+J8</f>
        <v>44784.864583333336</v>
      </c>
      <c r="J8">
        <f>K8/60/24</f>
        <v>3.125E-2</v>
      </c>
      <c r="K8">
        <v>45</v>
      </c>
    </row>
    <row r="9" spans="1:11" x14ac:dyDescent="0.25">
      <c r="A9" s="4" t="s">
        <v>155</v>
      </c>
      <c r="B9" s="4" t="s">
        <v>49</v>
      </c>
      <c r="C9" s="4" t="s">
        <v>156</v>
      </c>
      <c r="D9" s="4" t="s">
        <v>156</v>
      </c>
      <c r="E9" s="4" t="s">
        <v>157</v>
      </c>
      <c r="F9" s="4" t="s">
        <v>385</v>
      </c>
      <c r="G9" s="4" t="s">
        <v>52</v>
      </c>
      <c r="H9" s="5" t="str">
        <f>RIGHT(F9,16)</f>
        <v>11.08.2022 20:30</v>
      </c>
      <c r="I9" s="6">
        <f>H9+J9</f>
        <v>44784.90625</v>
      </c>
      <c r="J9">
        <f>K9/60/24</f>
        <v>5.2083333333333336E-2</v>
      </c>
      <c r="K9">
        <v>75</v>
      </c>
    </row>
    <row r="10" spans="1:11" x14ac:dyDescent="0.25">
      <c r="A10" s="4" t="s">
        <v>184</v>
      </c>
      <c r="B10" s="4" t="s">
        <v>49</v>
      </c>
      <c r="C10" s="4" t="s">
        <v>185</v>
      </c>
      <c r="D10" s="4" t="s">
        <v>185</v>
      </c>
      <c r="E10" s="4" t="s">
        <v>186</v>
      </c>
      <c r="F10" s="4" t="s">
        <v>395</v>
      </c>
      <c r="G10" s="4" t="s">
        <v>64</v>
      </c>
      <c r="H10" s="5" t="str">
        <f>RIGHT(F10,16)</f>
        <v>11.08.2022 21:30</v>
      </c>
      <c r="I10" s="6">
        <f>H10+J10</f>
        <v>44784.947916666672</v>
      </c>
      <c r="J10">
        <f>K10/60/24</f>
        <v>5.2083333333333336E-2</v>
      </c>
      <c r="K10">
        <v>75</v>
      </c>
    </row>
    <row r="11" spans="1:11" x14ac:dyDescent="0.25">
      <c r="A11" s="4" t="s">
        <v>123</v>
      </c>
      <c r="B11" s="4" t="s">
        <v>49</v>
      </c>
      <c r="C11" s="4" t="s">
        <v>124</v>
      </c>
      <c r="D11" s="4" t="s">
        <v>124</v>
      </c>
      <c r="E11" s="4" t="s">
        <v>125</v>
      </c>
      <c r="F11" s="4" t="s">
        <v>374</v>
      </c>
      <c r="G11" s="4" t="s">
        <v>98</v>
      </c>
      <c r="H11" s="5" t="str">
        <f>RIGHT(F11,16)</f>
        <v>12.08.2022 11:45</v>
      </c>
      <c r="I11" s="6">
        <f>H11+J11</f>
        <v>44785.53125</v>
      </c>
      <c r="J11">
        <f>K11/60/24</f>
        <v>4.1666666666666664E-2</v>
      </c>
      <c r="K11">
        <v>60</v>
      </c>
    </row>
    <row r="12" spans="1:11" x14ac:dyDescent="0.25">
      <c r="A12" s="4" t="s">
        <v>146</v>
      </c>
      <c r="B12" s="4" t="s">
        <v>49</v>
      </c>
      <c r="C12" s="4" t="s">
        <v>147</v>
      </c>
      <c r="D12" s="4" t="s">
        <v>147</v>
      </c>
      <c r="E12" s="4" t="s">
        <v>148</v>
      </c>
      <c r="F12" s="4" t="s">
        <v>382</v>
      </c>
      <c r="G12" s="4" t="s">
        <v>64</v>
      </c>
      <c r="H12" s="5" t="str">
        <f>RIGHT(F12,16)</f>
        <v>12.08.2022 18:30</v>
      </c>
      <c r="I12" s="6">
        <f>H12+J12</f>
        <v>44785.802083333336</v>
      </c>
      <c r="J12">
        <f>K12/60/24</f>
        <v>3.125E-2</v>
      </c>
      <c r="K12">
        <v>45</v>
      </c>
    </row>
    <row r="13" spans="1:11" x14ac:dyDescent="0.25">
      <c r="A13" s="4" t="s">
        <v>216</v>
      </c>
      <c r="B13" s="4" t="s">
        <v>49</v>
      </c>
      <c r="C13" s="4" t="s">
        <v>217</v>
      </c>
      <c r="D13" s="4" t="s">
        <v>217</v>
      </c>
      <c r="E13" s="4" t="s">
        <v>218</v>
      </c>
      <c r="F13" s="4" t="s">
        <v>406</v>
      </c>
      <c r="G13" s="4" t="s">
        <v>56</v>
      </c>
      <c r="H13" s="5" t="str">
        <f>RIGHT(F13,16)</f>
        <v>12.08.2022 19:15</v>
      </c>
      <c r="I13" s="6">
        <f>H13+J13</f>
        <v>44785.8125</v>
      </c>
      <c r="J13">
        <f>K13/60/24</f>
        <v>1.0416666666666666E-2</v>
      </c>
      <c r="K13">
        <v>15</v>
      </c>
    </row>
    <row r="14" spans="1:11" x14ac:dyDescent="0.25">
      <c r="A14" s="4" t="s">
        <v>174</v>
      </c>
      <c r="B14" s="4" t="s">
        <v>49</v>
      </c>
      <c r="C14" s="4" t="s">
        <v>175</v>
      </c>
      <c r="D14" s="4" t="s">
        <v>175</v>
      </c>
      <c r="E14" s="4" t="s">
        <v>176</v>
      </c>
      <c r="F14" s="4" t="s">
        <v>392</v>
      </c>
      <c r="G14" s="4" t="s">
        <v>64</v>
      </c>
      <c r="H14" s="5" t="str">
        <f>RIGHT(F14,16)</f>
        <v>12.08.2022 20:00</v>
      </c>
      <c r="I14" s="6">
        <f>H14+J14</f>
        <v>44785.864583333336</v>
      </c>
      <c r="J14">
        <f>K14/60/24</f>
        <v>3.125E-2</v>
      </c>
      <c r="K14">
        <v>45</v>
      </c>
    </row>
    <row r="15" spans="1:11" x14ac:dyDescent="0.25">
      <c r="A15" s="4" t="s">
        <v>228</v>
      </c>
      <c r="B15" s="4" t="s">
        <v>49</v>
      </c>
      <c r="C15" s="4" t="s">
        <v>229</v>
      </c>
      <c r="D15" s="4" t="s">
        <v>229</v>
      </c>
      <c r="E15" s="4" t="s">
        <v>230</v>
      </c>
      <c r="F15" s="4" t="s">
        <v>409</v>
      </c>
      <c r="G15" s="4" t="s">
        <v>102</v>
      </c>
      <c r="H15" s="5" t="str">
        <f>RIGHT(F15,16)</f>
        <v>12.08.2022 20:15</v>
      </c>
      <c r="I15" s="6">
        <f t="shared" ref="I15:I16" si="0">H15+J15</f>
        <v>44785.895833333336</v>
      </c>
      <c r="J15">
        <f t="shared" ref="J15:J16" si="1">K15/60/24</f>
        <v>5.2083333333333336E-2</v>
      </c>
      <c r="K15">
        <v>75</v>
      </c>
    </row>
    <row r="16" spans="1:11" x14ac:dyDescent="0.25">
      <c r="A16" s="4" t="s">
        <v>65</v>
      </c>
      <c r="B16" s="4" t="s">
        <v>49</v>
      </c>
      <c r="C16" s="4" t="s">
        <v>66</v>
      </c>
      <c r="D16" s="4" t="s">
        <v>66</v>
      </c>
      <c r="E16" s="4" t="s">
        <v>67</v>
      </c>
      <c r="F16" s="4" t="s">
        <v>355</v>
      </c>
      <c r="G16" s="4" t="s">
        <v>52</v>
      </c>
      <c r="H16" s="5" t="str">
        <f>RIGHT(F16,16)</f>
        <v>12.08.2022 20:30</v>
      </c>
      <c r="I16" s="6">
        <f t="shared" si="0"/>
        <v>44785.90625</v>
      </c>
      <c r="J16">
        <f t="shared" si="1"/>
        <v>5.2083333333333336E-2</v>
      </c>
      <c r="K16">
        <v>75</v>
      </c>
    </row>
    <row r="17" spans="1:11" x14ac:dyDescent="0.25">
      <c r="A17" s="4" t="s">
        <v>92</v>
      </c>
      <c r="B17" s="4" t="s">
        <v>49</v>
      </c>
      <c r="C17" s="4" t="s">
        <v>93</v>
      </c>
      <c r="D17" s="4" t="s">
        <v>93</v>
      </c>
      <c r="E17" s="4" t="s">
        <v>94</v>
      </c>
      <c r="F17" s="4" t="s">
        <v>364</v>
      </c>
      <c r="G17" s="4" t="s">
        <v>64</v>
      </c>
      <c r="H17" s="5" t="str">
        <f>RIGHT(F17,16)</f>
        <v>12.08.2022 21:15</v>
      </c>
      <c r="I17" s="6">
        <f t="shared" ref="I17:I18" si="2">H17+J17</f>
        <v>44785.927083333328</v>
      </c>
      <c r="J17">
        <f t="shared" ref="J17:J18" si="3">K17/60/24</f>
        <v>4.1666666666666664E-2</v>
      </c>
      <c r="K17">
        <v>60</v>
      </c>
    </row>
    <row r="18" spans="1:11" x14ac:dyDescent="0.25">
      <c r="A18" s="4" t="s">
        <v>86</v>
      </c>
      <c r="B18" s="4" t="s">
        <v>49</v>
      </c>
      <c r="C18" s="4" t="s">
        <v>87</v>
      </c>
      <c r="D18" s="4" t="s">
        <v>87</v>
      </c>
      <c r="E18" s="4" t="s">
        <v>88</v>
      </c>
      <c r="F18" s="4" t="s">
        <v>362</v>
      </c>
      <c r="G18" s="4" t="s">
        <v>64</v>
      </c>
      <c r="H18" s="5" t="str">
        <f>RIGHT(F18,16)</f>
        <v>12.08.2022 23:00</v>
      </c>
      <c r="I18" s="6">
        <f t="shared" si="2"/>
        <v>44785.993055555555</v>
      </c>
      <c r="J18">
        <f t="shared" si="3"/>
        <v>3.4722222222222224E-2</v>
      </c>
      <c r="K18">
        <v>50</v>
      </c>
    </row>
    <row r="19" spans="1:11" x14ac:dyDescent="0.25">
      <c r="A19" s="4" t="s">
        <v>143</v>
      </c>
      <c r="B19" s="4" t="s">
        <v>49</v>
      </c>
      <c r="C19" s="4" t="s">
        <v>144</v>
      </c>
      <c r="D19" s="4" t="s">
        <v>144</v>
      </c>
      <c r="E19" s="4" t="s">
        <v>145</v>
      </c>
      <c r="F19" s="4" t="s">
        <v>381</v>
      </c>
      <c r="G19" s="4" t="s">
        <v>52</v>
      </c>
      <c r="H19" s="5" t="str">
        <f>RIGHT(F19,16)</f>
        <v>13.08.2022 14:00</v>
      </c>
      <c r="I19" s="6">
        <f>H19+J19</f>
        <v>44786.78125</v>
      </c>
      <c r="J19">
        <f>K19/60/24</f>
        <v>0.19791666666666666</v>
      </c>
      <c r="K19">
        <v>285</v>
      </c>
    </row>
    <row r="20" spans="1:11" x14ac:dyDescent="0.25">
      <c r="A20" s="4" t="s">
        <v>61</v>
      </c>
      <c r="B20" s="4" t="s">
        <v>49</v>
      </c>
      <c r="C20" s="4" t="s">
        <v>62</v>
      </c>
      <c r="D20" s="4" t="s">
        <v>62</v>
      </c>
      <c r="E20" s="4" t="s">
        <v>63</v>
      </c>
      <c r="F20" s="4" t="s">
        <v>354</v>
      </c>
      <c r="G20" s="4" t="s">
        <v>64</v>
      </c>
      <c r="H20" s="5" t="str">
        <f>RIGHT(F20,16)</f>
        <v>13.08.2022 18:00</v>
      </c>
      <c r="I20" s="6">
        <f t="shared" ref="I20:I24" si="4">H20+J20</f>
        <v>44786.777777777781</v>
      </c>
      <c r="J20">
        <f t="shared" ref="J20:J24" si="5">K20/60/24</f>
        <v>2.7777777777777776E-2</v>
      </c>
      <c r="K20">
        <v>40</v>
      </c>
    </row>
    <row r="21" spans="1:11" x14ac:dyDescent="0.25">
      <c r="A21" s="4" t="s">
        <v>152</v>
      </c>
      <c r="B21" s="4" t="s">
        <v>49</v>
      </c>
      <c r="C21" s="4" t="s">
        <v>153</v>
      </c>
      <c r="D21" s="4" t="s">
        <v>153</v>
      </c>
      <c r="E21" s="4" t="s">
        <v>154</v>
      </c>
      <c r="F21" s="4" t="s">
        <v>384</v>
      </c>
      <c r="G21" s="4" t="s">
        <v>64</v>
      </c>
      <c r="H21" s="5" t="str">
        <f>RIGHT(F21,16)</f>
        <v>13.08.2022 19:10</v>
      </c>
      <c r="I21" s="6">
        <f t="shared" si="4"/>
        <v>44786.826388888891</v>
      </c>
      <c r="J21">
        <f t="shared" si="5"/>
        <v>2.7777777777777776E-2</v>
      </c>
      <c r="K21">
        <v>40</v>
      </c>
    </row>
    <row r="22" spans="1:11" x14ac:dyDescent="0.25">
      <c r="A22" s="4" t="s">
        <v>268</v>
      </c>
      <c r="B22" s="4" t="s">
        <v>49</v>
      </c>
      <c r="C22" s="4" t="s">
        <v>269</v>
      </c>
      <c r="D22" s="4" t="s">
        <v>269</v>
      </c>
      <c r="E22" s="4" t="s">
        <v>270</v>
      </c>
      <c r="F22" s="4" t="s">
        <v>420</v>
      </c>
      <c r="G22" s="4" t="s">
        <v>52</v>
      </c>
      <c r="H22" s="5" t="str">
        <f>RIGHT(F22,16)</f>
        <v>13.08.2022 19:30</v>
      </c>
      <c r="I22" s="6">
        <f t="shared" si="4"/>
        <v>44786.840277777781</v>
      </c>
      <c r="J22">
        <f t="shared" si="5"/>
        <v>2.7777777777777776E-2</v>
      </c>
      <c r="K22">
        <v>40</v>
      </c>
    </row>
    <row r="23" spans="1:11" x14ac:dyDescent="0.25">
      <c r="A23" s="4" t="s">
        <v>182</v>
      </c>
      <c r="B23" s="4" t="s">
        <v>49</v>
      </c>
      <c r="C23" s="4" t="s">
        <v>183</v>
      </c>
      <c r="D23" s="4" t="s">
        <v>183</v>
      </c>
      <c r="E23" s="4" t="s">
        <v>42</v>
      </c>
      <c r="F23" s="4" t="s">
        <v>433</v>
      </c>
      <c r="G23" s="4" t="s">
        <v>56</v>
      </c>
      <c r="H23" s="5" t="str">
        <f>RIGHT(F23,16)</f>
        <v>13.08.2022 19:50</v>
      </c>
      <c r="I23" s="6">
        <f t="shared" si="4"/>
        <v>44786.836805555555</v>
      </c>
      <c r="J23">
        <f t="shared" si="5"/>
        <v>1.0416666666666666E-2</v>
      </c>
      <c r="K23">
        <v>15</v>
      </c>
    </row>
    <row r="24" spans="1:11" x14ac:dyDescent="0.25">
      <c r="A24" s="4" t="s">
        <v>99</v>
      </c>
      <c r="B24" s="4" t="s">
        <v>49</v>
      </c>
      <c r="C24" s="4" t="s">
        <v>100</v>
      </c>
      <c r="D24" s="4" t="s">
        <v>100</v>
      </c>
      <c r="E24" s="4" t="s">
        <v>101</v>
      </c>
      <c r="F24" s="4" t="s">
        <v>366</v>
      </c>
      <c r="G24" s="4" t="s">
        <v>102</v>
      </c>
      <c r="H24" s="5" t="str">
        <f>RIGHT(F24,16)</f>
        <v>13.08.2022 20:15</v>
      </c>
      <c r="I24" s="6">
        <f t="shared" si="4"/>
        <v>44786.885416666664</v>
      </c>
      <c r="J24">
        <f t="shared" si="5"/>
        <v>4.1666666666666664E-2</v>
      </c>
      <c r="K24">
        <v>60</v>
      </c>
    </row>
    <row r="25" spans="1:11" x14ac:dyDescent="0.25">
      <c r="A25" s="4" t="s">
        <v>106</v>
      </c>
      <c r="B25" s="4" t="s">
        <v>49</v>
      </c>
      <c r="C25" s="4" t="s">
        <v>107</v>
      </c>
      <c r="D25" s="4" t="s">
        <v>107</v>
      </c>
      <c r="E25" s="4" t="s">
        <v>108</v>
      </c>
      <c r="F25" s="4" t="s">
        <v>368</v>
      </c>
      <c r="G25" s="4" t="s">
        <v>64</v>
      </c>
      <c r="H25" s="5" t="str">
        <f>RIGHT(F25,16)</f>
        <v>13.08.2022 20:30</v>
      </c>
      <c r="I25" s="6">
        <f>H25+J25</f>
        <v>44786.885416666664</v>
      </c>
      <c r="J25">
        <f>K25/60/24</f>
        <v>3.125E-2</v>
      </c>
      <c r="K25">
        <v>45</v>
      </c>
    </row>
    <row r="26" spans="1:11" x14ac:dyDescent="0.25">
      <c r="A26" s="4" t="s">
        <v>236</v>
      </c>
      <c r="B26" s="4" t="s">
        <v>49</v>
      </c>
      <c r="C26" s="4" t="s">
        <v>237</v>
      </c>
      <c r="D26" s="4" t="s">
        <v>237</v>
      </c>
      <c r="E26" s="4" t="s">
        <v>28</v>
      </c>
      <c r="F26" s="4" t="s">
        <v>411</v>
      </c>
      <c r="G26" s="4" t="s">
        <v>52</v>
      </c>
      <c r="H26" s="5" t="str">
        <f>RIGHT(F26,16)</f>
        <v>13.08.2022 20:45</v>
      </c>
      <c r="I26" s="6">
        <f>H26+J26</f>
        <v>44786.90625</v>
      </c>
      <c r="J26">
        <f>K26/60/24</f>
        <v>4.1666666666666664E-2</v>
      </c>
      <c r="K26">
        <v>60</v>
      </c>
    </row>
    <row r="27" spans="1:11" x14ac:dyDescent="0.25">
      <c r="A27" s="4" t="s">
        <v>80</v>
      </c>
      <c r="B27" s="4" t="s">
        <v>49</v>
      </c>
      <c r="C27" s="4" t="s">
        <v>81</v>
      </c>
      <c r="D27" s="4" t="s">
        <v>81</v>
      </c>
      <c r="E27" s="4" t="s">
        <v>82</v>
      </c>
      <c r="F27" s="4" t="s">
        <v>360</v>
      </c>
      <c r="G27" s="4" t="s">
        <v>64</v>
      </c>
      <c r="H27" s="5" t="str">
        <f>RIGHT(F27,16)</f>
        <v>13.08.2022 21:45</v>
      </c>
      <c r="I27" s="6">
        <f t="shared" ref="I27:I33" si="6">H27+J27</f>
        <v>44786.940972222219</v>
      </c>
      <c r="J27">
        <f t="shared" ref="J27:J33" si="7">K27/60/24</f>
        <v>3.4722222222222224E-2</v>
      </c>
      <c r="K27">
        <v>50</v>
      </c>
    </row>
    <row r="28" spans="1:11" x14ac:dyDescent="0.25">
      <c r="A28" s="4" t="s">
        <v>250</v>
      </c>
      <c r="B28" s="4" t="s">
        <v>49</v>
      </c>
      <c r="C28" s="4" t="s">
        <v>251</v>
      </c>
      <c r="D28" s="4" t="s">
        <v>251</v>
      </c>
      <c r="E28" s="4" t="s">
        <v>252</v>
      </c>
      <c r="F28" s="4" t="s">
        <v>416</v>
      </c>
      <c r="G28" s="4" t="s">
        <v>64</v>
      </c>
      <c r="H28" s="5" t="str">
        <f>RIGHT(F28,16)</f>
        <v>13.08.2022 23:00</v>
      </c>
      <c r="I28" s="6">
        <f t="shared" si="6"/>
        <v>44786.996527777781</v>
      </c>
      <c r="J28">
        <f t="shared" si="7"/>
        <v>3.8194444444444441E-2</v>
      </c>
      <c r="K28">
        <v>55</v>
      </c>
    </row>
    <row r="29" spans="1:11" x14ac:dyDescent="0.25">
      <c r="A29" s="4" t="s">
        <v>225</v>
      </c>
      <c r="B29" s="4" t="s">
        <v>49</v>
      </c>
      <c r="C29" s="4" t="s">
        <v>427</v>
      </c>
      <c r="D29" s="4"/>
      <c r="E29" s="4"/>
      <c r="F29" s="4" t="s">
        <v>428</v>
      </c>
      <c r="G29" s="4" t="s">
        <v>52</v>
      </c>
      <c r="H29" s="5" t="str">
        <f>RIGHT(F29,16)</f>
        <v>14.08.2022 14:00</v>
      </c>
      <c r="I29" s="6">
        <f>H29+J29</f>
        <v>44787.708333333336</v>
      </c>
      <c r="J29">
        <f>K29/60/24</f>
        <v>0.125</v>
      </c>
      <c r="K29">
        <v>180</v>
      </c>
    </row>
    <row r="30" spans="1:11" x14ac:dyDescent="0.25">
      <c r="A30" s="4" t="s">
        <v>225</v>
      </c>
      <c r="B30" s="4" t="s">
        <v>49</v>
      </c>
      <c r="C30" s="4" t="s">
        <v>429</v>
      </c>
      <c r="D30" s="4"/>
      <c r="E30" s="4"/>
      <c r="F30" s="4" t="s">
        <v>428</v>
      </c>
      <c r="G30" s="4" t="s">
        <v>52</v>
      </c>
      <c r="H30" s="5" t="str">
        <f>RIGHT(F30,16)</f>
        <v>14.08.2022 14:00</v>
      </c>
      <c r="I30" s="6">
        <f>H30+J30</f>
        <v>44787.708333333336</v>
      </c>
      <c r="J30">
        <f>K30/60/24</f>
        <v>0.125</v>
      </c>
      <c r="K30">
        <v>180</v>
      </c>
    </row>
    <row r="31" spans="1:11" x14ac:dyDescent="0.25">
      <c r="A31" s="4" t="s">
        <v>225</v>
      </c>
      <c r="B31" s="4" t="s">
        <v>49</v>
      </c>
      <c r="C31" s="4" t="s">
        <v>226</v>
      </c>
      <c r="D31" s="4" t="s">
        <v>226</v>
      </c>
      <c r="E31" s="4" t="s">
        <v>227</v>
      </c>
      <c r="F31" s="4" t="s">
        <v>408</v>
      </c>
      <c r="G31" s="4" t="s">
        <v>52</v>
      </c>
      <c r="H31" s="5" t="str">
        <f>RIGHT(F31,16)</f>
        <v>14.08.2022 15:00</v>
      </c>
      <c r="I31" s="6">
        <f>H31+J31</f>
        <v>44787.65625</v>
      </c>
      <c r="J31">
        <f>K31/60/24</f>
        <v>3.125E-2</v>
      </c>
      <c r="K31">
        <v>45</v>
      </c>
    </row>
    <row r="32" spans="1:11" x14ac:dyDescent="0.25">
      <c r="A32" s="4" t="s">
        <v>225</v>
      </c>
      <c r="B32" s="4" t="s">
        <v>49</v>
      </c>
      <c r="C32" s="4" t="s">
        <v>430</v>
      </c>
      <c r="D32" s="4"/>
      <c r="E32" s="4"/>
      <c r="F32" s="4" t="s">
        <v>431</v>
      </c>
      <c r="G32" s="4" t="s">
        <v>52</v>
      </c>
      <c r="H32" s="5" t="str">
        <f>RIGHT(F32,16)</f>
        <v>14.08.2022 16:30</v>
      </c>
      <c r="I32" s="6">
        <f>H32+J32</f>
        <v>44787.729166666664</v>
      </c>
      <c r="J32">
        <f>K32/60/24</f>
        <v>4.1666666666666664E-2</v>
      </c>
      <c r="K32">
        <v>60</v>
      </c>
    </row>
    <row r="33" spans="1:11" x14ac:dyDescent="0.25">
      <c r="A33" s="4"/>
      <c r="B33" s="4"/>
      <c r="C33" s="4" t="s">
        <v>421</v>
      </c>
      <c r="D33" s="4"/>
      <c r="E33" s="7" t="s">
        <v>422</v>
      </c>
      <c r="F33" s="4" t="s">
        <v>423</v>
      </c>
      <c r="G33" s="4" t="s">
        <v>64</v>
      </c>
      <c r="H33" s="5" t="str">
        <f>RIGHT(F33,16)</f>
        <v>14.08.2022 12:00</v>
      </c>
      <c r="I33" s="6">
        <f t="shared" si="6"/>
        <v>44787.625</v>
      </c>
      <c r="J33">
        <f t="shared" si="7"/>
        <v>0.125</v>
      </c>
      <c r="K33">
        <v>180</v>
      </c>
    </row>
    <row r="34" spans="1:11" x14ac:dyDescent="0.25">
      <c r="A34" s="4" t="s">
        <v>166</v>
      </c>
      <c r="B34" s="4" t="s">
        <v>49</v>
      </c>
      <c r="C34" s="4" t="s">
        <v>167</v>
      </c>
      <c r="D34" s="4" t="s">
        <v>167</v>
      </c>
      <c r="E34" s="4" t="s">
        <v>168</v>
      </c>
      <c r="F34" s="4" t="s">
        <v>389</v>
      </c>
      <c r="G34" s="4" t="s">
        <v>64</v>
      </c>
      <c r="H34" s="5" t="str">
        <f>RIGHT(F34,16)</f>
        <v>14.08.2022 16:00</v>
      </c>
      <c r="I34" s="6">
        <f t="shared" ref="I34:I35" si="8">H34+J34</f>
        <v>44787.697916666664</v>
      </c>
      <c r="J34">
        <f t="shared" ref="J34:J35" si="9">K34/60/24</f>
        <v>3.125E-2</v>
      </c>
      <c r="K34">
        <v>45</v>
      </c>
    </row>
    <row r="35" spans="1:11" x14ac:dyDescent="0.25">
      <c r="A35" s="4" t="s">
        <v>77</v>
      </c>
      <c r="B35" s="4" t="s">
        <v>49</v>
      </c>
      <c r="C35" s="4" t="s">
        <v>78</v>
      </c>
      <c r="D35" s="4" t="s">
        <v>78</v>
      </c>
      <c r="E35" s="4" t="s">
        <v>79</v>
      </c>
      <c r="F35" s="4" t="s">
        <v>359</v>
      </c>
      <c r="G35" s="4" t="s">
        <v>64</v>
      </c>
      <c r="H35" s="5" t="str">
        <f>RIGHT(F35,16)</f>
        <v>14.08.2022 17:15</v>
      </c>
      <c r="I35" s="6">
        <f t="shared" si="8"/>
        <v>44787.760416666664</v>
      </c>
      <c r="J35">
        <f t="shared" si="9"/>
        <v>4.1666666666666664E-2</v>
      </c>
      <c r="K35">
        <v>60</v>
      </c>
    </row>
    <row r="36" spans="1:11" x14ac:dyDescent="0.25">
      <c r="A36" s="4" t="s">
        <v>129</v>
      </c>
      <c r="B36" s="4" t="s">
        <v>49</v>
      </c>
      <c r="C36" s="4" t="s">
        <v>130</v>
      </c>
      <c r="D36" s="4" t="s">
        <v>130</v>
      </c>
      <c r="E36" s="4" t="s">
        <v>131</v>
      </c>
      <c r="F36" s="4" t="s">
        <v>376</v>
      </c>
      <c r="G36" s="4" t="s">
        <v>56</v>
      </c>
      <c r="H36" s="5" t="str">
        <f>RIGHT(F36,16)</f>
        <v>14.08.2022 18:15</v>
      </c>
      <c r="I36" s="6">
        <f>H36+J36</f>
        <v>44787.770833333328</v>
      </c>
      <c r="J36">
        <f>K36/60/24</f>
        <v>1.0416666666666666E-2</v>
      </c>
      <c r="K36">
        <v>15</v>
      </c>
    </row>
    <row r="37" spans="1:11" x14ac:dyDescent="0.25">
      <c r="A37" s="4" t="s">
        <v>187</v>
      </c>
      <c r="B37" s="4" t="s">
        <v>49</v>
      </c>
      <c r="C37" s="4" t="s">
        <v>188</v>
      </c>
      <c r="D37" s="4" t="s">
        <v>188</v>
      </c>
      <c r="E37" s="4" t="s">
        <v>189</v>
      </c>
      <c r="F37" s="4" t="s">
        <v>396</v>
      </c>
      <c r="G37" s="4" t="s">
        <v>64</v>
      </c>
      <c r="H37" s="5" t="str">
        <f>RIGHT(F37,16)</f>
        <v>14.08.2022 19:00</v>
      </c>
      <c r="I37" s="6">
        <f>H37+J37</f>
        <v>44787.833333333328</v>
      </c>
      <c r="J37">
        <f>K37/60/24</f>
        <v>4.1666666666666664E-2</v>
      </c>
      <c r="K37">
        <v>60</v>
      </c>
    </row>
    <row r="38" spans="1:11" x14ac:dyDescent="0.25">
      <c r="A38" s="4" t="s">
        <v>196</v>
      </c>
      <c r="B38" s="4" t="s">
        <v>49</v>
      </c>
      <c r="C38" s="4" t="s">
        <v>197</v>
      </c>
      <c r="D38" s="4" t="s">
        <v>197</v>
      </c>
      <c r="E38" s="4" t="s">
        <v>198</v>
      </c>
      <c r="F38" s="4" t="s">
        <v>399</v>
      </c>
      <c r="G38" s="4" t="s">
        <v>102</v>
      </c>
      <c r="H38" s="5" t="str">
        <f>RIGHT(F38,16)</f>
        <v>14.08.2022 20:15</v>
      </c>
      <c r="I38" s="6">
        <f t="shared" ref="I38:I39" si="10">H38+J38</f>
        <v>44787.895833333336</v>
      </c>
      <c r="J38">
        <f t="shared" ref="J38:J39" si="11">K38/60/24</f>
        <v>5.2083333333333336E-2</v>
      </c>
      <c r="K38">
        <v>75</v>
      </c>
    </row>
    <row r="39" spans="1:11" x14ac:dyDescent="0.25">
      <c r="A39" s="4" t="s">
        <v>68</v>
      </c>
      <c r="B39" s="4" t="s">
        <v>49</v>
      </c>
      <c r="C39" s="4" t="s">
        <v>69</v>
      </c>
      <c r="D39" s="4" t="s">
        <v>69</v>
      </c>
      <c r="E39" s="4" t="s">
        <v>70</v>
      </c>
      <c r="F39" s="4" t="s">
        <v>356</v>
      </c>
      <c r="G39" s="4" t="s">
        <v>52</v>
      </c>
      <c r="H39" s="5" t="str">
        <f>RIGHT(F39,16)</f>
        <v>14.08.2022 20:30</v>
      </c>
      <c r="I39" s="6">
        <f t="shared" si="10"/>
        <v>44787.90625</v>
      </c>
      <c r="J39">
        <f t="shared" si="11"/>
        <v>5.2083333333333336E-2</v>
      </c>
      <c r="K39">
        <v>75</v>
      </c>
    </row>
    <row r="40" spans="1:11" x14ac:dyDescent="0.25">
      <c r="A40" s="4" t="s">
        <v>234</v>
      </c>
      <c r="B40" s="4" t="s">
        <v>49</v>
      </c>
      <c r="C40" s="4" t="s">
        <v>235</v>
      </c>
      <c r="D40" s="4" t="s">
        <v>235</v>
      </c>
      <c r="E40" s="4" t="s">
        <v>15</v>
      </c>
      <c r="F40" s="4" t="s">
        <v>356</v>
      </c>
      <c r="G40" s="4" t="s">
        <v>64</v>
      </c>
      <c r="H40" s="5" t="str">
        <f>RIGHT(F40,16)</f>
        <v>14.08.2022 20:30</v>
      </c>
      <c r="I40" s="6">
        <f t="shared" ref="I40:I45" si="12">H40+J40</f>
        <v>44787.90625</v>
      </c>
      <c r="J40">
        <f t="shared" ref="J40:J45" si="13">K40/60/24</f>
        <v>5.2083333333333336E-2</v>
      </c>
      <c r="K40">
        <v>75</v>
      </c>
    </row>
    <row r="41" spans="1:11" x14ac:dyDescent="0.25">
      <c r="A41" s="4" t="s">
        <v>247</v>
      </c>
      <c r="B41" s="4" t="s">
        <v>49</v>
      </c>
      <c r="C41" s="4" t="s">
        <v>248</v>
      </c>
      <c r="D41" s="4" t="s">
        <v>248</v>
      </c>
      <c r="E41" s="4" t="s">
        <v>249</v>
      </c>
      <c r="F41" s="4" t="s">
        <v>415</v>
      </c>
      <c r="G41" s="4" t="s">
        <v>64</v>
      </c>
      <c r="H41" s="5" t="str">
        <f>RIGHT(F41,16)</f>
        <v>15.08.2022 18:45</v>
      </c>
      <c r="I41" s="6">
        <f t="shared" si="12"/>
        <v>44788.822916666664</v>
      </c>
      <c r="J41">
        <f t="shared" si="13"/>
        <v>4.1666666666666664E-2</v>
      </c>
      <c r="K41">
        <v>60</v>
      </c>
    </row>
    <row r="42" spans="1:11" x14ac:dyDescent="0.25">
      <c r="A42" s="4" t="s">
        <v>135</v>
      </c>
      <c r="B42" s="4" t="s">
        <v>49</v>
      </c>
      <c r="C42" s="4" t="s">
        <v>136</v>
      </c>
      <c r="D42" s="4" t="s">
        <v>136</v>
      </c>
      <c r="E42" s="4" t="s">
        <v>137</v>
      </c>
      <c r="F42" s="4" t="s">
        <v>378</v>
      </c>
      <c r="G42" s="4" t="s">
        <v>60</v>
      </c>
      <c r="H42" s="5" t="str">
        <f>RIGHT(F42,16)</f>
        <v>15.08.2022 19:45</v>
      </c>
      <c r="I42" s="6">
        <f t="shared" si="12"/>
        <v>44788.854166666664</v>
      </c>
      <c r="J42">
        <f t="shared" si="13"/>
        <v>3.125E-2</v>
      </c>
      <c r="K42">
        <v>45</v>
      </c>
    </row>
    <row r="43" spans="1:11" x14ac:dyDescent="0.25">
      <c r="A43" s="4" t="s">
        <v>222</v>
      </c>
      <c r="B43" s="4" t="s">
        <v>49</v>
      </c>
      <c r="C43" s="4" t="s">
        <v>223</v>
      </c>
      <c r="D43" s="4" t="s">
        <v>223</v>
      </c>
      <c r="E43" s="4" t="s">
        <v>224</v>
      </c>
      <c r="F43" s="4" t="s">
        <v>378</v>
      </c>
      <c r="G43" s="4" t="s">
        <v>56</v>
      </c>
      <c r="H43" s="5" t="str">
        <f>RIGHT(F43,16)</f>
        <v>15.08.2022 19:45</v>
      </c>
      <c r="I43" s="6">
        <f t="shared" si="12"/>
        <v>44788.833333333328</v>
      </c>
      <c r="J43">
        <f t="shared" si="13"/>
        <v>1.0416666666666666E-2</v>
      </c>
      <c r="K43">
        <v>15</v>
      </c>
    </row>
    <row r="44" spans="1:11" x14ac:dyDescent="0.25">
      <c r="A44" s="4" t="s">
        <v>158</v>
      </c>
      <c r="B44" s="4" t="s">
        <v>49</v>
      </c>
      <c r="C44" s="4" t="s">
        <v>159</v>
      </c>
      <c r="D44" s="4" t="s">
        <v>159</v>
      </c>
      <c r="E44" s="4" t="s">
        <v>30</v>
      </c>
      <c r="F44" s="4" t="s">
        <v>386</v>
      </c>
      <c r="G44" s="4" t="s">
        <v>102</v>
      </c>
      <c r="H44" s="5" t="str">
        <f>RIGHT(F44,16)</f>
        <v>15.08.2022 20:15</v>
      </c>
      <c r="I44" s="6">
        <f t="shared" si="12"/>
        <v>44788.90625</v>
      </c>
      <c r="J44">
        <f t="shared" si="13"/>
        <v>6.25E-2</v>
      </c>
      <c r="K44">
        <v>90</v>
      </c>
    </row>
    <row r="45" spans="1:11" x14ac:dyDescent="0.25">
      <c r="A45" s="4" t="s">
        <v>138</v>
      </c>
      <c r="B45" s="4" t="s">
        <v>49</v>
      </c>
      <c r="C45" s="4" t="s">
        <v>139</v>
      </c>
      <c r="D45" s="4" t="s">
        <v>139</v>
      </c>
      <c r="E45" s="4" t="s">
        <v>24</v>
      </c>
      <c r="F45" s="4" t="s">
        <v>379</v>
      </c>
      <c r="G45" s="4" t="s">
        <v>52</v>
      </c>
      <c r="H45" s="5" t="str">
        <f>RIGHT(F45,16)</f>
        <v>15.08.2022 20:30</v>
      </c>
      <c r="I45" s="6">
        <f t="shared" si="12"/>
        <v>44788.90625</v>
      </c>
      <c r="J45">
        <f t="shared" si="13"/>
        <v>5.2083333333333336E-2</v>
      </c>
      <c r="K45">
        <v>75</v>
      </c>
    </row>
    <row r="46" spans="1:11" x14ac:dyDescent="0.25">
      <c r="A46" s="4" t="s">
        <v>265</v>
      </c>
      <c r="B46" s="4" t="s">
        <v>49</v>
      </c>
      <c r="C46" s="4" t="s">
        <v>266</v>
      </c>
      <c r="D46" s="4" t="s">
        <v>266</v>
      </c>
      <c r="E46" s="4" t="s">
        <v>267</v>
      </c>
      <c r="F46" s="4" t="s">
        <v>379</v>
      </c>
      <c r="G46" s="4" t="s">
        <v>64</v>
      </c>
      <c r="H46" s="5" t="str">
        <f>RIGHT(F46,16)</f>
        <v>15.08.2022 20:30</v>
      </c>
      <c r="I46" s="6">
        <f>H46+J46</f>
        <v>44788.895833333328</v>
      </c>
      <c r="J46">
        <f>K46/60/24</f>
        <v>4.1666666666666664E-2</v>
      </c>
      <c r="K46">
        <v>60</v>
      </c>
    </row>
    <row r="47" spans="1:11" x14ac:dyDescent="0.25">
      <c r="A47" s="4" t="s">
        <v>244</v>
      </c>
      <c r="B47" s="4" t="s">
        <v>49</v>
      </c>
      <c r="C47" s="4" t="s">
        <v>245</v>
      </c>
      <c r="D47" s="4" t="s">
        <v>245</v>
      </c>
      <c r="E47" s="4" t="s">
        <v>246</v>
      </c>
      <c r="F47" s="4" t="s">
        <v>414</v>
      </c>
      <c r="G47" s="4" t="s">
        <v>98</v>
      </c>
      <c r="H47" s="5" t="str">
        <f>RIGHT(F47,16)</f>
        <v>16.08.2022 11:45</v>
      </c>
      <c r="I47" s="6">
        <f>H47+J47</f>
        <v>44789.53125</v>
      </c>
      <c r="J47">
        <f>K47/60/24</f>
        <v>4.1666666666666664E-2</v>
      </c>
      <c r="K47">
        <v>60</v>
      </c>
    </row>
    <row r="48" spans="1:11" x14ac:dyDescent="0.25">
      <c r="A48" s="4" t="s">
        <v>171</v>
      </c>
      <c r="B48" s="4" t="s">
        <v>49</v>
      </c>
      <c r="C48" s="4" t="s">
        <v>172</v>
      </c>
      <c r="D48" s="4" t="s">
        <v>172</v>
      </c>
      <c r="E48" s="4" t="s">
        <v>173</v>
      </c>
      <c r="F48" s="4" t="s">
        <v>391</v>
      </c>
      <c r="G48" s="4" t="s">
        <v>64</v>
      </c>
      <c r="H48" s="5" t="str">
        <f>RIGHT(F48,16)</f>
        <v>16.08.2022 18:45</v>
      </c>
      <c r="I48" s="6">
        <f>H48+J48</f>
        <v>44789.8125</v>
      </c>
      <c r="J48">
        <f>K48/60/24</f>
        <v>3.125E-2</v>
      </c>
      <c r="K48">
        <v>45</v>
      </c>
    </row>
    <row r="49" spans="1:11" x14ac:dyDescent="0.25">
      <c r="A49" s="4" t="s">
        <v>259</v>
      </c>
      <c r="B49" s="4" t="s">
        <v>49</v>
      </c>
      <c r="C49" s="4" t="s">
        <v>260</v>
      </c>
      <c r="D49" s="4" t="s">
        <v>260</v>
      </c>
      <c r="E49" s="4" t="s">
        <v>261</v>
      </c>
      <c r="F49" s="4" t="s">
        <v>419</v>
      </c>
      <c r="G49" s="4" t="s">
        <v>52</v>
      </c>
      <c r="H49" s="5" t="str">
        <f>RIGHT(F49,16)</f>
        <v>16.08.2022 19:15</v>
      </c>
      <c r="I49" s="6">
        <f t="shared" ref="I49:I52" si="14">H49+J49</f>
        <v>44789.833333333336</v>
      </c>
      <c r="J49">
        <f t="shared" ref="J49:J52" si="15">K49/60/24</f>
        <v>3.125E-2</v>
      </c>
      <c r="K49">
        <v>45</v>
      </c>
    </row>
    <row r="50" spans="1:11" x14ac:dyDescent="0.25">
      <c r="A50" s="4" t="s">
        <v>120</v>
      </c>
      <c r="B50" s="4" t="s">
        <v>49</v>
      </c>
      <c r="C50" s="4" t="s">
        <v>121</v>
      </c>
      <c r="D50" s="4" t="s">
        <v>121</v>
      </c>
      <c r="E50" s="4" t="s">
        <v>122</v>
      </c>
      <c r="F50" s="4" t="s">
        <v>373</v>
      </c>
      <c r="G50" s="4" t="s">
        <v>56</v>
      </c>
      <c r="H50" s="5" t="str">
        <f>RIGHT(F50,16)</f>
        <v>16.08.2022 19:30</v>
      </c>
      <c r="I50" s="6">
        <f t="shared" si="14"/>
        <v>44789.822916666664</v>
      </c>
      <c r="J50">
        <f t="shared" si="15"/>
        <v>1.0416666666666666E-2</v>
      </c>
      <c r="K50">
        <v>15</v>
      </c>
    </row>
    <row r="51" spans="1:11" x14ac:dyDescent="0.25">
      <c r="A51" s="4" t="s">
        <v>57</v>
      </c>
      <c r="B51" s="4" t="s">
        <v>49</v>
      </c>
      <c r="C51" s="4" t="s">
        <v>58</v>
      </c>
      <c r="D51" s="4" t="s">
        <v>58</v>
      </c>
      <c r="E51" s="4" t="s">
        <v>59</v>
      </c>
      <c r="F51" s="4" t="s">
        <v>353</v>
      </c>
      <c r="G51" s="4" t="s">
        <v>60</v>
      </c>
      <c r="H51" s="5" t="str">
        <f>RIGHT(F51,16)</f>
        <v>16.08.2022 19:45</v>
      </c>
      <c r="I51" s="6">
        <f t="shared" si="14"/>
        <v>44789.854166666664</v>
      </c>
      <c r="J51">
        <f t="shared" si="15"/>
        <v>3.125E-2</v>
      </c>
      <c r="K51">
        <v>45</v>
      </c>
    </row>
    <row r="52" spans="1:11" x14ac:dyDescent="0.25">
      <c r="A52" s="4" t="s">
        <v>48</v>
      </c>
      <c r="B52" s="4" t="s">
        <v>49</v>
      </c>
      <c r="C52" s="4" t="s">
        <v>50</v>
      </c>
      <c r="D52" s="4" t="s">
        <v>50</v>
      </c>
      <c r="E52" s="4" t="s">
        <v>51</v>
      </c>
      <c r="F52" s="4" t="s">
        <v>351</v>
      </c>
      <c r="G52" s="4" t="s">
        <v>52</v>
      </c>
      <c r="H52" s="5" t="str">
        <f>RIGHT(F52,16)</f>
        <v>16.08.2022 20:15</v>
      </c>
      <c r="I52" s="6">
        <f t="shared" si="14"/>
        <v>44789.90625</v>
      </c>
      <c r="J52">
        <f t="shared" si="15"/>
        <v>6.25E-2</v>
      </c>
      <c r="K52">
        <v>90</v>
      </c>
    </row>
    <row r="53" spans="1:11" x14ac:dyDescent="0.25">
      <c r="A53" s="4" t="s">
        <v>262</v>
      </c>
      <c r="B53" s="4" t="s">
        <v>49</v>
      </c>
      <c r="C53" s="4" t="s">
        <v>263</v>
      </c>
      <c r="D53" s="4" t="s">
        <v>263</v>
      </c>
      <c r="E53" s="4" t="s">
        <v>264</v>
      </c>
      <c r="F53" s="4" t="s">
        <v>351</v>
      </c>
      <c r="G53" s="4" t="s">
        <v>64</v>
      </c>
      <c r="H53" s="5" t="str">
        <f>RIGHT(F53,16)</f>
        <v>16.08.2022 20:15</v>
      </c>
      <c r="I53" s="6">
        <f>H53+J53</f>
        <v>44789.895833333336</v>
      </c>
      <c r="J53">
        <f>K53/60/24</f>
        <v>5.2083333333333336E-2</v>
      </c>
      <c r="K53">
        <v>75</v>
      </c>
    </row>
    <row r="54" spans="1:11" x14ac:dyDescent="0.25">
      <c r="A54" s="4" t="s">
        <v>274</v>
      </c>
      <c r="B54" s="4" t="s">
        <v>49</v>
      </c>
      <c r="C54" s="4" t="s">
        <v>275</v>
      </c>
      <c r="D54" s="4" t="s">
        <v>275</v>
      </c>
      <c r="E54" s="4" t="s">
        <v>276</v>
      </c>
      <c r="F54" s="4" t="s">
        <v>351</v>
      </c>
      <c r="G54" s="4" t="s">
        <v>102</v>
      </c>
      <c r="H54" s="5" t="str">
        <f>RIGHT(F54,16)</f>
        <v>16.08.2022 20:15</v>
      </c>
      <c r="I54" s="6">
        <f t="shared" ref="I54:I55" si="16">H54+J54</f>
        <v>44789.885416666664</v>
      </c>
      <c r="J54">
        <f t="shared" ref="J54:J55" si="17">K54/60/24</f>
        <v>4.1666666666666664E-2</v>
      </c>
      <c r="K54">
        <v>60</v>
      </c>
    </row>
    <row r="55" spans="1:11" x14ac:dyDescent="0.25">
      <c r="A55" s="4" t="s">
        <v>193</v>
      </c>
      <c r="B55" s="4" t="s">
        <v>49</v>
      </c>
      <c r="C55" s="4" t="s">
        <v>194</v>
      </c>
      <c r="D55" s="4" t="s">
        <v>194</v>
      </c>
      <c r="E55" s="4" t="s">
        <v>195</v>
      </c>
      <c r="F55" s="4" t="s">
        <v>398</v>
      </c>
      <c r="G55" s="4" t="s">
        <v>98</v>
      </c>
      <c r="H55" s="5" t="str">
        <f>RIGHT(F55,16)</f>
        <v>17.08.2022 11:45</v>
      </c>
      <c r="I55" s="6">
        <f t="shared" si="16"/>
        <v>44790.53125</v>
      </c>
      <c r="J55">
        <f t="shared" si="17"/>
        <v>4.1666666666666664E-2</v>
      </c>
      <c r="K55">
        <v>60</v>
      </c>
    </row>
    <row r="56" spans="1:11" x14ac:dyDescent="0.25">
      <c r="A56" s="4" t="s">
        <v>126</v>
      </c>
      <c r="B56" s="4" t="s">
        <v>49</v>
      </c>
      <c r="C56" s="4" t="s">
        <v>127</v>
      </c>
      <c r="D56" s="4" t="s">
        <v>127</v>
      </c>
      <c r="E56" s="4" t="s">
        <v>128</v>
      </c>
      <c r="F56" s="4" t="s">
        <v>375</v>
      </c>
      <c r="G56" s="4" t="s">
        <v>64</v>
      </c>
      <c r="H56" s="5" t="str">
        <f>RIGHT(F56,16)</f>
        <v>17.08.2022 15:00</v>
      </c>
      <c r="I56" s="6">
        <f t="shared" ref="I56:I59" si="18">H56+J56</f>
        <v>44790.666666666664</v>
      </c>
      <c r="J56">
        <f t="shared" ref="J56:J59" si="19">K56/60/24</f>
        <v>4.1666666666666664E-2</v>
      </c>
      <c r="K56">
        <v>60</v>
      </c>
    </row>
    <row r="57" spans="1:11" x14ac:dyDescent="0.25">
      <c r="A57" s="4" t="s">
        <v>169</v>
      </c>
      <c r="B57" s="4" t="s">
        <v>49</v>
      </c>
      <c r="C57" s="4" t="s">
        <v>170</v>
      </c>
      <c r="D57" s="4" t="s">
        <v>170</v>
      </c>
      <c r="E57" s="4" t="s">
        <v>19</v>
      </c>
      <c r="F57" s="4" t="s">
        <v>390</v>
      </c>
      <c r="G57" s="4" t="s">
        <v>64</v>
      </c>
      <c r="H57" s="5" t="str">
        <f>RIGHT(F57,16)</f>
        <v>17.08.2022 18:45</v>
      </c>
      <c r="I57" s="6">
        <f t="shared" si="18"/>
        <v>44790.8125</v>
      </c>
      <c r="J57">
        <f t="shared" si="19"/>
        <v>3.125E-2</v>
      </c>
      <c r="K57">
        <v>45</v>
      </c>
    </row>
    <row r="58" spans="1:11" x14ac:dyDescent="0.25">
      <c r="A58" s="4" t="s">
        <v>118</v>
      </c>
      <c r="B58" s="4" t="s">
        <v>49</v>
      </c>
      <c r="C58" s="4" t="s">
        <v>119</v>
      </c>
      <c r="D58" s="4" t="s">
        <v>119</v>
      </c>
      <c r="E58" s="4" t="s">
        <v>39</v>
      </c>
      <c r="F58" s="4" t="s">
        <v>372</v>
      </c>
      <c r="G58" s="4" t="s">
        <v>56</v>
      </c>
      <c r="H58" s="5" t="str">
        <f>RIGHT(F58,16)</f>
        <v>17.08.2022 19:30</v>
      </c>
      <c r="I58" s="6">
        <f t="shared" si="18"/>
        <v>44790.822916666664</v>
      </c>
      <c r="J58">
        <f t="shared" si="19"/>
        <v>1.0416666666666666E-2</v>
      </c>
      <c r="K58">
        <v>15</v>
      </c>
    </row>
    <row r="59" spans="1:11" x14ac:dyDescent="0.25">
      <c r="A59" s="4" t="s">
        <v>208</v>
      </c>
      <c r="B59" s="4" t="s">
        <v>49</v>
      </c>
      <c r="C59" s="4" t="s">
        <v>209</v>
      </c>
      <c r="D59" s="4" t="s">
        <v>209</v>
      </c>
      <c r="E59" s="4" t="s">
        <v>210</v>
      </c>
      <c r="F59" s="4" t="s">
        <v>403</v>
      </c>
      <c r="G59" s="4" t="s">
        <v>60</v>
      </c>
      <c r="H59" s="5" t="str">
        <f>RIGHT(F59,16)</f>
        <v>17.08.2022 19:45</v>
      </c>
      <c r="I59" s="6">
        <f t="shared" si="18"/>
        <v>44790.854166666664</v>
      </c>
      <c r="J59">
        <f t="shared" si="19"/>
        <v>3.125E-2</v>
      </c>
      <c r="K59">
        <v>45</v>
      </c>
    </row>
    <row r="60" spans="1:11" x14ac:dyDescent="0.25">
      <c r="A60" s="4" t="s">
        <v>140</v>
      </c>
      <c r="B60" s="4" t="s">
        <v>49</v>
      </c>
      <c r="C60" s="4" t="s">
        <v>141</v>
      </c>
      <c r="D60" s="4" t="s">
        <v>141</v>
      </c>
      <c r="E60" s="4" t="s">
        <v>142</v>
      </c>
      <c r="F60" s="4" t="s">
        <v>380</v>
      </c>
      <c r="G60" s="4" t="s">
        <v>64</v>
      </c>
      <c r="H60" s="5" t="str">
        <f>RIGHT(F60,16)</f>
        <v>17.08.2022 20:15</v>
      </c>
      <c r="I60" s="6">
        <f>H60+J60</f>
        <v>44790.90625</v>
      </c>
      <c r="J60">
        <f>K60/60/24</f>
        <v>6.25E-2</v>
      </c>
      <c r="K60">
        <v>90</v>
      </c>
    </row>
    <row r="61" spans="1:11" x14ac:dyDescent="0.25">
      <c r="A61" s="4" t="s">
        <v>271</v>
      </c>
      <c r="B61" s="4" t="s">
        <v>49</v>
      </c>
      <c r="C61" s="4" t="s">
        <v>272</v>
      </c>
      <c r="D61" s="4" t="s">
        <v>272</v>
      </c>
      <c r="E61" s="4" t="s">
        <v>273</v>
      </c>
      <c r="F61" s="4" t="s">
        <v>380</v>
      </c>
      <c r="G61" s="4" t="s">
        <v>102</v>
      </c>
      <c r="H61" s="5" t="str">
        <f>RIGHT(F61,16)</f>
        <v>17.08.2022 20:15</v>
      </c>
      <c r="I61" s="6">
        <f t="shared" ref="I61:I64" si="20">H61+J61</f>
        <v>44790.895833333336</v>
      </c>
      <c r="J61">
        <f t="shared" ref="J61:J64" si="21">K61/60/24</f>
        <v>5.2083333333333336E-2</v>
      </c>
      <c r="K61">
        <v>75</v>
      </c>
    </row>
    <row r="62" spans="1:11" x14ac:dyDescent="0.25">
      <c r="A62" s="4"/>
      <c r="B62" s="4"/>
      <c r="C62" s="4" t="s">
        <v>429</v>
      </c>
      <c r="D62" s="4"/>
      <c r="E62" s="4"/>
      <c r="F62" s="4" t="s">
        <v>432</v>
      </c>
      <c r="G62" s="4" t="s">
        <v>52</v>
      </c>
      <c r="H62" s="5" t="str">
        <f>RIGHT(F62,16)</f>
        <v>17.08.2022 14:00</v>
      </c>
      <c r="I62" s="6">
        <f>H62+J62</f>
        <v>44790.708333333336</v>
      </c>
      <c r="J62">
        <f>K62/60/24</f>
        <v>0.125</v>
      </c>
      <c r="K62">
        <v>180</v>
      </c>
    </row>
    <row r="63" spans="1:11" x14ac:dyDescent="0.25">
      <c r="A63" s="4" t="s">
        <v>256</v>
      </c>
      <c r="B63" s="4" t="s">
        <v>49</v>
      </c>
      <c r="C63" s="4" t="s">
        <v>257</v>
      </c>
      <c r="D63" s="4" t="s">
        <v>257</v>
      </c>
      <c r="E63" s="4" t="s">
        <v>258</v>
      </c>
      <c r="F63" s="4" t="s">
        <v>418</v>
      </c>
      <c r="G63" s="4" t="s">
        <v>52</v>
      </c>
      <c r="H63" s="5" t="str">
        <f>RIGHT(F63,16)</f>
        <v>17.08.2022 20:30</v>
      </c>
      <c r="I63" s="6">
        <f t="shared" si="20"/>
        <v>44790.90625</v>
      </c>
      <c r="J63">
        <f t="shared" si="21"/>
        <v>5.2083333333333336E-2</v>
      </c>
      <c r="K63">
        <v>75</v>
      </c>
    </row>
    <row r="64" spans="1:11" x14ac:dyDescent="0.25">
      <c r="A64" s="4" t="s">
        <v>95</v>
      </c>
      <c r="B64" s="4" t="s">
        <v>49</v>
      </c>
      <c r="C64" s="4" t="s">
        <v>96</v>
      </c>
      <c r="D64" s="4" t="s">
        <v>96</v>
      </c>
      <c r="E64" s="4" t="s">
        <v>97</v>
      </c>
      <c r="F64" s="4" t="s">
        <v>365</v>
      </c>
      <c r="G64" s="4" t="s">
        <v>98</v>
      </c>
      <c r="H64" s="5" t="str">
        <f>RIGHT(F64,16)</f>
        <v>18.08.2022 11:45</v>
      </c>
      <c r="I64" s="6">
        <f t="shared" si="20"/>
        <v>44791.53125</v>
      </c>
      <c r="J64">
        <f t="shared" si="21"/>
        <v>4.1666666666666664E-2</v>
      </c>
      <c r="K64">
        <v>60</v>
      </c>
    </row>
    <row r="65" spans="1:11" x14ac:dyDescent="0.25">
      <c r="A65" s="4" t="s">
        <v>199</v>
      </c>
      <c r="B65" s="4" t="s">
        <v>49</v>
      </c>
      <c r="C65" s="4" t="s">
        <v>200</v>
      </c>
      <c r="D65" s="4" t="s">
        <v>200</v>
      </c>
      <c r="E65" s="4" t="s">
        <v>201</v>
      </c>
      <c r="F65" s="4" t="s">
        <v>400</v>
      </c>
      <c r="G65" s="4" t="s">
        <v>64</v>
      </c>
      <c r="H65" s="5" t="str">
        <f>RIGHT(F65,16)</f>
        <v>18.08.2022 18:30</v>
      </c>
      <c r="I65" s="6">
        <f>H65+J65</f>
        <v>44791.802083333336</v>
      </c>
      <c r="J65">
        <f>K65/60/24</f>
        <v>3.125E-2</v>
      </c>
      <c r="K65">
        <v>45</v>
      </c>
    </row>
    <row r="66" spans="1:11" x14ac:dyDescent="0.25">
      <c r="A66" s="4" t="s">
        <v>53</v>
      </c>
      <c r="B66" s="4" t="s">
        <v>49</v>
      </c>
      <c r="C66" s="4" t="s">
        <v>54</v>
      </c>
      <c r="D66" s="4" t="s">
        <v>54</v>
      </c>
      <c r="E66" s="4" t="s">
        <v>55</v>
      </c>
      <c r="F66" s="4" t="s">
        <v>352</v>
      </c>
      <c r="G66" s="4" t="s">
        <v>56</v>
      </c>
      <c r="H66" s="5" t="str">
        <f>RIGHT(F66,16)</f>
        <v>18.08.2022 19:15</v>
      </c>
      <c r="I66" s="6">
        <f>H66+J66</f>
        <v>44791.8125</v>
      </c>
      <c r="J66">
        <f>K66/60/24</f>
        <v>1.0416666666666666E-2</v>
      </c>
      <c r="K66">
        <v>15</v>
      </c>
    </row>
    <row r="67" spans="1:11" x14ac:dyDescent="0.25">
      <c r="A67" s="4" t="s">
        <v>132</v>
      </c>
      <c r="B67" s="4" t="s">
        <v>49</v>
      </c>
      <c r="C67" s="4" t="s">
        <v>133</v>
      </c>
      <c r="D67" s="4" t="s">
        <v>133</v>
      </c>
      <c r="E67" s="4" t="s">
        <v>134</v>
      </c>
      <c r="F67" s="4" t="s">
        <v>377</v>
      </c>
      <c r="G67" s="4" t="s">
        <v>64</v>
      </c>
      <c r="H67" s="5" t="str">
        <f>RIGHT(F67,16)</f>
        <v>18.08.2022 20:00</v>
      </c>
      <c r="I67" s="6">
        <f>H67+J67</f>
        <v>44791.875</v>
      </c>
      <c r="J67">
        <f>K67/60/24</f>
        <v>4.1666666666666664E-2</v>
      </c>
      <c r="K67">
        <v>60</v>
      </c>
    </row>
    <row r="68" spans="1:11" x14ac:dyDescent="0.25">
      <c r="A68" s="4" t="s">
        <v>149</v>
      </c>
      <c r="B68" s="4" t="s">
        <v>49</v>
      </c>
      <c r="C68" s="4" t="s">
        <v>150</v>
      </c>
      <c r="D68" s="4" t="s">
        <v>150</v>
      </c>
      <c r="E68" s="4" t="s">
        <v>151</v>
      </c>
      <c r="F68" s="4" t="s">
        <v>383</v>
      </c>
      <c r="G68" s="4" t="s">
        <v>102</v>
      </c>
      <c r="H68" s="5" t="str">
        <f>RIGHT(F68,16)</f>
        <v>18.08.2022 20:15</v>
      </c>
      <c r="I68" s="6">
        <f t="shared" ref="I68:I69" si="22">H68+J68</f>
        <v>44791.895833333336</v>
      </c>
      <c r="J68">
        <f t="shared" ref="J68:J69" si="23">K68/60/24</f>
        <v>5.2083333333333336E-2</v>
      </c>
      <c r="K68">
        <v>75</v>
      </c>
    </row>
    <row r="69" spans="1:11" x14ac:dyDescent="0.25">
      <c r="A69" s="4" t="s">
        <v>71</v>
      </c>
      <c r="B69" s="4" t="s">
        <v>49</v>
      </c>
      <c r="C69" s="4" t="s">
        <v>72</v>
      </c>
      <c r="D69" s="4" t="s">
        <v>72</v>
      </c>
      <c r="E69" s="4" t="s">
        <v>73</v>
      </c>
      <c r="F69" s="4" t="s">
        <v>357</v>
      </c>
      <c r="G69" s="4" t="s">
        <v>52</v>
      </c>
      <c r="H69" s="5" t="str">
        <f>RIGHT(F69,16)</f>
        <v>18.08.2022 20:30</v>
      </c>
      <c r="I69" s="6">
        <f t="shared" si="22"/>
        <v>44791.905555555553</v>
      </c>
      <c r="J69">
        <f t="shared" si="23"/>
        <v>5.1388888888888894E-2</v>
      </c>
      <c r="K69">
        <v>74</v>
      </c>
    </row>
    <row r="70" spans="1:11" x14ac:dyDescent="0.25">
      <c r="A70" s="4" t="s">
        <v>112</v>
      </c>
      <c r="B70" s="4" t="s">
        <v>49</v>
      </c>
      <c r="C70" s="4" t="s">
        <v>113</v>
      </c>
      <c r="D70" s="4" t="s">
        <v>113</v>
      </c>
      <c r="E70" s="4" t="s">
        <v>114</v>
      </c>
      <c r="F70" s="4" t="s">
        <v>370</v>
      </c>
      <c r="G70" s="4" t="s">
        <v>64</v>
      </c>
      <c r="H70" s="5" t="str">
        <f>RIGHT(F70,16)</f>
        <v>18.08.2022 21:30</v>
      </c>
      <c r="I70" s="6">
        <f>H70+J70</f>
        <v>44791.947916666672</v>
      </c>
      <c r="J70">
        <f>K70/60/24</f>
        <v>5.2083333333333336E-2</v>
      </c>
      <c r="K70">
        <v>75</v>
      </c>
    </row>
    <row r="71" spans="1:11" x14ac:dyDescent="0.25">
      <c r="A71" s="4" t="s">
        <v>241</v>
      </c>
      <c r="B71" s="4" t="s">
        <v>49</v>
      </c>
      <c r="C71" s="4" t="s">
        <v>242</v>
      </c>
      <c r="D71" s="4" t="s">
        <v>242</v>
      </c>
      <c r="E71" s="4" t="s">
        <v>243</v>
      </c>
      <c r="F71" s="4" t="s">
        <v>413</v>
      </c>
      <c r="G71" s="4" t="s">
        <v>102</v>
      </c>
      <c r="H71" s="5" t="str">
        <f>RIGHT(F71,16)</f>
        <v>19.08.2022 20:15</v>
      </c>
      <c r="I71" s="6">
        <f>H71+J71</f>
        <v>44792.90625</v>
      </c>
      <c r="J71">
        <f>K71/60/24</f>
        <v>6.25E-2</v>
      </c>
      <c r="K71">
        <v>90</v>
      </c>
    </row>
    <row r="72" spans="1:11" x14ac:dyDescent="0.25">
      <c r="A72" s="4"/>
      <c r="B72" s="4"/>
      <c r="C72" s="4" t="s">
        <v>424</v>
      </c>
      <c r="D72" s="4"/>
      <c r="E72" s="7" t="s">
        <v>426</v>
      </c>
      <c r="F72" s="4" t="s">
        <v>425</v>
      </c>
      <c r="G72" s="4" t="s">
        <v>64</v>
      </c>
      <c r="H72" s="5" t="str">
        <f>RIGHT(F72,16)</f>
        <v>18.08.2022 19:30</v>
      </c>
      <c r="I72" s="6">
        <f>H72+J72</f>
        <v>44791.840277777781</v>
      </c>
      <c r="J72">
        <f>K72/60/24</f>
        <v>2.7777777777777776E-2</v>
      </c>
      <c r="K72">
        <v>40</v>
      </c>
    </row>
    <row r="73" spans="1:11" x14ac:dyDescent="0.25">
      <c r="A73" s="4" t="s">
        <v>177</v>
      </c>
      <c r="B73" s="4" t="s">
        <v>49</v>
      </c>
      <c r="C73" s="4" t="s">
        <v>178</v>
      </c>
      <c r="D73" s="4" t="s">
        <v>178</v>
      </c>
      <c r="E73" s="4" t="s">
        <v>179</v>
      </c>
      <c r="F73" s="4" t="s">
        <v>393</v>
      </c>
      <c r="G73" s="4" t="s">
        <v>64</v>
      </c>
      <c r="H73" s="5" t="str">
        <f>RIGHT(F73,16)</f>
        <v>19.08.2022 20:40</v>
      </c>
      <c r="I73" s="6">
        <f t="shared" ref="I73:I74" si="24">H73+J73</f>
        <v>44792.913194444445</v>
      </c>
      <c r="J73">
        <f t="shared" ref="J73:J74" si="25">K73/60/24</f>
        <v>5.2083333333333336E-2</v>
      </c>
      <c r="K73">
        <v>75</v>
      </c>
    </row>
    <row r="74" spans="1:11" x14ac:dyDescent="0.25">
      <c r="A74" s="4" t="s">
        <v>253</v>
      </c>
      <c r="B74" s="4" t="s">
        <v>49</v>
      </c>
      <c r="C74" s="4" t="s">
        <v>254</v>
      </c>
      <c r="D74" s="4" t="s">
        <v>254</v>
      </c>
      <c r="E74" s="4" t="s">
        <v>255</v>
      </c>
      <c r="F74" s="4" t="s">
        <v>417</v>
      </c>
      <c r="G74" s="4" t="s">
        <v>64</v>
      </c>
      <c r="H74" s="5" t="str">
        <f>RIGHT(F74,16)</f>
        <v>19.08.2022 22:30</v>
      </c>
      <c r="I74" s="6">
        <f t="shared" si="24"/>
        <v>44793</v>
      </c>
      <c r="J74">
        <f t="shared" si="25"/>
        <v>6.25E-2</v>
      </c>
      <c r="K74">
        <v>90</v>
      </c>
    </row>
    <row r="75" spans="1:11" x14ac:dyDescent="0.25">
      <c r="A75" s="4" t="s">
        <v>205</v>
      </c>
      <c r="B75" s="4" t="s">
        <v>49</v>
      </c>
      <c r="C75" s="4" t="s">
        <v>206</v>
      </c>
      <c r="D75" s="4" t="s">
        <v>206</v>
      </c>
      <c r="E75" s="4" t="s">
        <v>207</v>
      </c>
      <c r="F75" s="4" t="s">
        <v>402</v>
      </c>
      <c r="G75" s="4" t="s">
        <v>102</v>
      </c>
      <c r="H75" s="5" t="str">
        <f>RIGHT(F75,16)</f>
        <v>20.08.2022 14:00</v>
      </c>
      <c r="I75" s="6">
        <f>H75+J75</f>
        <v>44793.618055555555</v>
      </c>
      <c r="J75">
        <f>K75/60/24</f>
        <v>3.4722222222222224E-2</v>
      </c>
      <c r="K75">
        <v>50</v>
      </c>
    </row>
    <row r="76" spans="1:11" x14ac:dyDescent="0.25">
      <c r="A76" s="4" t="s">
        <v>219</v>
      </c>
      <c r="B76" s="4" t="s">
        <v>49</v>
      </c>
      <c r="C76" s="4" t="s">
        <v>220</v>
      </c>
      <c r="D76" s="4" t="s">
        <v>220</v>
      </c>
      <c r="E76" s="4" t="s">
        <v>221</v>
      </c>
      <c r="F76" s="4" t="s">
        <v>407</v>
      </c>
      <c r="G76" s="4" t="s">
        <v>64</v>
      </c>
      <c r="H76" s="5" t="str">
        <f>RIGHT(F76,16)</f>
        <v>20.08.2022 18:45</v>
      </c>
      <c r="I76" s="6">
        <f t="shared" ref="I76:I77" si="26">H76+J76</f>
        <v>44793.8125</v>
      </c>
      <c r="J76">
        <f t="shared" ref="J76:J77" si="27">K76/60/24</f>
        <v>3.125E-2</v>
      </c>
      <c r="K76">
        <v>45</v>
      </c>
    </row>
    <row r="77" spans="1:11" x14ac:dyDescent="0.25">
      <c r="A77" s="4" t="s">
        <v>238</v>
      </c>
      <c r="B77" s="4" t="s">
        <v>49</v>
      </c>
      <c r="C77" s="4" t="s">
        <v>239</v>
      </c>
      <c r="D77" s="4" t="s">
        <v>239</v>
      </c>
      <c r="E77" s="4" t="s">
        <v>240</v>
      </c>
      <c r="F77" s="4" t="s">
        <v>412</v>
      </c>
      <c r="G77" s="4" t="s">
        <v>64</v>
      </c>
      <c r="H77" s="5" t="str">
        <f>RIGHT(F77,16)</f>
        <v>20.08.2022 20:00</v>
      </c>
      <c r="I77" s="6">
        <f t="shared" si="26"/>
        <v>44793.885416666672</v>
      </c>
      <c r="J77">
        <f t="shared" si="27"/>
        <v>5.2083333333333336E-2</v>
      </c>
      <c r="K77">
        <v>75</v>
      </c>
    </row>
    <row r="78" spans="1:11" x14ac:dyDescent="0.25">
      <c r="A78" s="4" t="s">
        <v>163</v>
      </c>
      <c r="B78" s="4" t="s">
        <v>49</v>
      </c>
      <c r="C78" s="4" t="s">
        <v>164</v>
      </c>
      <c r="D78" s="4" t="s">
        <v>164</v>
      </c>
      <c r="E78" s="4" t="s">
        <v>165</v>
      </c>
      <c r="F78" s="4" t="s">
        <v>388</v>
      </c>
      <c r="G78" s="4" t="s">
        <v>102</v>
      </c>
      <c r="H78" s="5" t="str">
        <f>RIGHT(F78,16)</f>
        <v>20.08.2022 20:15</v>
      </c>
      <c r="I78" s="6">
        <f>H78+J78</f>
        <v>44793.895833333336</v>
      </c>
      <c r="J78">
        <f>K78/60/24</f>
        <v>5.2083333333333336E-2</v>
      </c>
      <c r="K78">
        <v>75</v>
      </c>
    </row>
    <row r="79" spans="1:11" x14ac:dyDescent="0.25">
      <c r="A79" s="4" t="s">
        <v>83</v>
      </c>
      <c r="B79" s="4" t="s">
        <v>49</v>
      </c>
      <c r="C79" s="4" t="s">
        <v>84</v>
      </c>
      <c r="D79" s="4" t="s">
        <v>84</v>
      </c>
      <c r="E79" s="4" t="s">
        <v>85</v>
      </c>
      <c r="F79" s="4" t="s">
        <v>361</v>
      </c>
      <c r="G79" s="4" t="s">
        <v>64</v>
      </c>
      <c r="H79" s="5" t="str">
        <f>RIGHT(F79,16)</f>
        <v>20.08.2022 22:00</v>
      </c>
      <c r="I79" s="6">
        <f>H79+J79</f>
        <v>44793.979166666664</v>
      </c>
      <c r="J79">
        <f>K79/60/24</f>
        <v>6.25E-2</v>
      </c>
      <c r="K79">
        <v>90</v>
      </c>
    </row>
    <row r="80" spans="1:11" x14ac:dyDescent="0.25">
      <c r="A80" s="4" t="s">
        <v>103</v>
      </c>
      <c r="B80" s="4" t="s">
        <v>49</v>
      </c>
      <c r="C80" s="4" t="s">
        <v>104</v>
      </c>
      <c r="D80" s="4" t="s">
        <v>104</v>
      </c>
      <c r="E80" s="4" t="s">
        <v>105</v>
      </c>
      <c r="F80" s="4" t="s">
        <v>367</v>
      </c>
      <c r="G80" s="4" t="s">
        <v>102</v>
      </c>
      <c r="H80" s="5" t="str">
        <f>RIGHT(F80,16)</f>
        <v>21.08.2022 14:00</v>
      </c>
      <c r="I80" s="6">
        <f>H80+J80</f>
        <v>44794.625</v>
      </c>
      <c r="J80">
        <f>K80/60/24</f>
        <v>4.1666666666666664E-2</v>
      </c>
      <c r="K80">
        <v>60</v>
      </c>
    </row>
    <row r="81" spans="1:11" x14ac:dyDescent="0.25">
      <c r="A81" s="4" t="s">
        <v>115</v>
      </c>
      <c r="B81" s="4" t="s">
        <v>49</v>
      </c>
      <c r="C81" s="4" t="s">
        <v>116</v>
      </c>
      <c r="D81" s="4" t="s">
        <v>116</v>
      </c>
      <c r="E81" s="4" t="s">
        <v>117</v>
      </c>
      <c r="F81" s="4" t="s">
        <v>371</v>
      </c>
      <c r="G81" s="4" t="s">
        <v>64</v>
      </c>
      <c r="H81" s="5" t="str">
        <f>RIGHT(F81,16)</f>
        <v>21.08.2022 16:45</v>
      </c>
      <c r="I81" s="6">
        <f t="shared" ref="I81:I83" si="28">H81+J81</f>
        <v>44794.729166666664</v>
      </c>
      <c r="J81">
        <f t="shared" ref="J81:J83" si="29">K81/60/24</f>
        <v>3.125E-2</v>
      </c>
      <c r="K81">
        <v>45</v>
      </c>
    </row>
    <row r="82" spans="1:11" x14ac:dyDescent="0.25">
      <c r="A82" s="4" t="s">
        <v>211</v>
      </c>
      <c r="B82" s="4" t="s">
        <v>49</v>
      </c>
      <c r="C82" s="4" t="s">
        <v>212</v>
      </c>
      <c r="D82" s="4" t="s">
        <v>212</v>
      </c>
      <c r="E82" s="4" t="s">
        <v>213</v>
      </c>
      <c r="F82" s="4" t="s">
        <v>404</v>
      </c>
      <c r="G82" s="4" t="s">
        <v>64</v>
      </c>
      <c r="H82" s="5" t="str">
        <f>RIGHT(F82,16)</f>
        <v>21.08.2022 18:15</v>
      </c>
      <c r="I82" s="6">
        <f t="shared" si="28"/>
        <v>44794.802083333328</v>
      </c>
      <c r="J82">
        <f t="shared" si="29"/>
        <v>4.1666666666666664E-2</v>
      </c>
      <c r="K82">
        <v>60</v>
      </c>
    </row>
    <row r="83" spans="1:11" x14ac:dyDescent="0.25">
      <c r="A83" s="4" t="s">
        <v>202</v>
      </c>
      <c r="B83" s="4" t="s">
        <v>49</v>
      </c>
      <c r="C83" s="4" t="s">
        <v>203</v>
      </c>
      <c r="D83" s="4" t="s">
        <v>203</v>
      </c>
      <c r="E83" s="4" t="s">
        <v>204</v>
      </c>
      <c r="F83" s="4" t="s">
        <v>401</v>
      </c>
      <c r="G83" s="4" t="s">
        <v>64</v>
      </c>
      <c r="H83" s="5" t="str">
        <f>RIGHT(F83,16)</f>
        <v>21.08.2022 20:00</v>
      </c>
      <c r="I83" s="6">
        <f t="shared" si="28"/>
        <v>44794.895833333336</v>
      </c>
      <c r="J83">
        <f t="shared" si="29"/>
        <v>6.25E-2</v>
      </c>
      <c r="K83">
        <v>90</v>
      </c>
    </row>
    <row r="84" spans="1:11" x14ac:dyDescent="0.25">
      <c r="A84" s="4" t="s">
        <v>214</v>
      </c>
      <c r="B84" s="4" t="s">
        <v>49</v>
      </c>
      <c r="C84" s="4" t="s">
        <v>215</v>
      </c>
      <c r="D84" s="4" t="s">
        <v>215</v>
      </c>
      <c r="E84" s="4" t="s">
        <v>34</v>
      </c>
      <c r="F84" s="4" t="s">
        <v>405</v>
      </c>
      <c r="G84" s="4" t="s">
        <v>102</v>
      </c>
      <c r="H84" s="5" t="str">
        <f>RIGHT(F84,16)</f>
        <v>21.08.2022 20:15</v>
      </c>
      <c r="I84" s="6">
        <f>H84+J84</f>
        <v>44794.895833333336</v>
      </c>
      <c r="J84">
        <f>K84/60/24</f>
        <v>5.2083333333333336E-2</v>
      </c>
      <c r="K84">
        <v>75</v>
      </c>
    </row>
  </sheetData>
  <hyperlinks>
    <hyperlink ref="E33" r:id="rId1" xr:uid="{8C3182DD-4A5E-4029-88EC-FB55AD8CC037}"/>
    <hyperlink ref="E72" r:id="rId2" xr:uid="{1A951E52-A180-45BC-8240-F54FC3A9B4C3}"/>
  </hyperlinks>
  <pageMargins left="0.7" right="0.7" top="0.78740157499999996" bottom="0.78740157499999996"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Tabelle1</vt:lpstr>
      <vt:lpstr>scrape transform</vt:lpstr>
      <vt:lpstr>scrape 02AUG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Kasiala</dc:creator>
  <cp:lastModifiedBy>Patrick Kasiala</cp:lastModifiedBy>
  <dcterms:created xsi:type="dcterms:W3CDTF">2022-07-30T16:04:03Z</dcterms:created>
  <dcterms:modified xsi:type="dcterms:W3CDTF">2022-08-02T12:56:40Z</dcterms:modified>
</cp:coreProperties>
</file>